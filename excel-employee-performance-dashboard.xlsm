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ura\OneDrive\Desktop\my_excel_projects\"/>
    </mc:Choice>
  </mc:AlternateContent>
  <xr:revisionPtr revIDLastSave="0" documentId="13_ncr:1_{72A81AA5-3871-44FE-BBA3-83BFF80362DF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7" r:id="rId5"/>
  </sheet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<sst xmlns="http://schemas.openxmlformats.org/spreadsheetml/2006/main" count="2449" uniqueCount="1016">
  <si>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</si>
  <si>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</si>
  <si>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</si>
  <si>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</si>
  <si>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</si>
  <si>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</si>
  <si>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</si>
  <si>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</si>
  <si>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</si>
  <si>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</si>
  <si>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</si>
  <si>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</si>
  <si>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</si>
  <si>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</si>
  <si>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</si>
  <si>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</si>
  <si>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</si>
  <si>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</si>
  <si>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</si>
  <si>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</si>
  <si>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</si>
  <si>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</si>
  <si>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</si>
  <si>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</si>
  <si>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</si>
  <si>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</si>
  <si>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</si>
  <si>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</si>
  <si>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</si>
  <si>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</si>
  <si>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</si>
  <si>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</si>
  <si>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</si>
  <si>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</si>
  <si>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</si>
  <si>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</si>
  <si>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</si>
  <si>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</si>
  <si>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</si>
  <si>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</si>
  <si>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</si>
  <si>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</si>
  <si>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</si>
  <si>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</si>
  <si>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</si>
  <si>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</si>
  <si>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</si>
  <si>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</si>
  <si>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</si>
  <si>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</si>
  <si>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</si>
  <si>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</si>
  <si>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</si>
  <si>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</si>
  <si>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</si>
  <si>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</si>
  <si>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</si>
  <si>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</si>
  <si>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</si>
  <si>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</si>
  <si>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</si>
  <si>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</si>
  <si>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</si>
  <si>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</si>
  <si>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</si>
  <si>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</si>
  <si>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</si>
  <si>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</si>
  <si>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</si>
  <si>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</si>
  <si>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</si>
  <si>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</si>
  <si>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</si>
  <si>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</si>
  <si>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</si>
  <si>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</si>
  <si>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</si>
  <si>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</si>
  <si>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</si>
  <si>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</si>
  <si>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</si>
  <si>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</si>
  <si>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</si>
  <si>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</si>
  <si>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</si>
  <si>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</si>
  <si>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</si>
  <si>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</si>
  <si>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</si>
  <si>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</si>
  <si>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</si>
  <si>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</si>
  <si>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</si>
  <si>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</si>
  <si>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</si>
  <si>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</si>
  <si>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</si>
  <si>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</si>
  <si>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</si>
  <si>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</si>
  <si>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</si>
  <si>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</si>
  <si>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</si>
  <si>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</si>
  <si>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</si>
  <si>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</si>
  <si>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</si>
  <si>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</si>
  <si>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</si>
  <si>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</si>
  <si>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</si>
  <si>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</si>
  <si>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</si>
  <si>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</si>
  <si>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</si>
  <si>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</si>
  <si>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</si>
  <si>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</si>
  <si>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</si>
  <si>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</si>
  <si>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</si>
  <si>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</si>
  <si>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</si>
  <si>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</si>
  <si>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</si>
  <si>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</si>
  <si>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</si>
  <si>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</si>
  <si>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</si>
  <si>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</si>
  <si>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</si>
  <si>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</si>
  <si>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</si>
  <si>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</si>
  <si>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</si>
  <si>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</si>
  <si>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</si>
  <si>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</si>
  <si>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</si>
  <si>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</si>
  <si>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</si>
  <si>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</si>
  <si>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</si>
  <si>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</si>
  <si>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</si>
  <si>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</si>
  <si>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</si>
  <si>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</si>
  <si>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</si>
  <si>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</si>
  <si>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</si>
  <si>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</si>
  <si>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</si>
  <si>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</si>
  <si>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</si>
  <si>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</si>
  <si>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</si>
  <si>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</si>
  <si>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</si>
  <si>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</si>
  <si>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</si>
  <si>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</si>
  <si>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</si>
  <si>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</si>
  <si>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</si>
  <si>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</si>
  <si>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</si>
  <si>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</si>
  <si>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</si>
  <si>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</si>
  <si>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</si>
  <si>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</si>
  <si>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</si>
  <si>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</si>
  <si>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</si>
  <si>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</si>
  <si>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</si>
  <si>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</si>
  <si>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</si>
  <si>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</si>
  <si>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</si>
  <si>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</si>
  <si>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</si>
  <si>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</si>
  <si>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</si>
  <si>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</si>
  <si>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</si>
  <si>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</si>
  <si>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</si>
  <si>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</si>
  <si>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</si>
  <si>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</si>
  <si>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</si>
  <si>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</si>
  <si>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</si>
  <si>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</si>
  <si>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</si>
  <si>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</si>
  <si>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</si>
  <si>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</si>
  <si>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</si>
  <si>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</si>
  <si>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</si>
  <si>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</si>
  <si>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</si>
  <si>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</si>
  <si>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</si>
  <si>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</si>
  <si>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</si>
  <si>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</si>
  <si>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</si>
  <si>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</si>
  <si>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</si>
  <si>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</si>
  <si>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</si>
  <si>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</si>
  <si>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</si>
  <si>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</si>
  <si>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</si>
  <si>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</si>
  <si>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</si>
  <si>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</si>
  <si>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</si>
  <si>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</si>
  <si>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</si>
  <si>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</si>
  <si>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</si>
  <si>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</si>
  <si>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</si>
  <si>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</si>
  <si>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</si>
  <si>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</si>
  <si>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</si>
  <si>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</si>
  <si>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</si>
  <si>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</si>
  <si>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</si>
  <si>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</si>
  <si>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</si>
  <si>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</si>
  <si>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</si>
  <si>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</si>
  <si>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</si>
  <si>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</si>
  <si>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</si>
  <si>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</si>
  <si>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</si>
  <si>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</si>
  <si>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</si>
  <si>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</si>
  <si>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</si>
  <si>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</si>
  <si>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</si>
  <si>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</si>
  <si>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</si>
  <si>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</si>
  <si>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</si>
  <si>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</si>
  <si>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</si>
  <si>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</si>
  <si>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</si>
  <si>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</si>
  <si>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</si>
  <si>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</si>
  <si>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</si>
  <si>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</si>
  <si>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</si>
  <si>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</si>
  <si>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</si>
  <si>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</si>
  <si>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</si>
  <si>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</si>
  <si>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</si>
  <si>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</si>
  <si>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</si>
  <si>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</si>
  <si>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</si>
  <si>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</si>
  <si>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</si>
  <si>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</si>
  <si>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</si>
  <si>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</si>
  <si>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</si>
  <si>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</si>
  <si>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</si>
  <si>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</si>
  <si>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</si>
  <si>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</si>
  <si>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</si>
  <si>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</si>
  <si>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</si>
  <si>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</si>
  <si>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</si>
  <si>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</si>
  <si>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</si>
  <si>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</si>
  <si>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</si>
  <si>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</si>
  <si>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</si>
  <si>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</si>
  <si>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</si>
  <si>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</si>
  <si>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</si>
  <si>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</si>
  <si>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</si>
  <si>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</si>
  <si>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</si>
  <si>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</si>
  <si>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</si>
  <si>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</si>
  <si>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</si>
  <si>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</si>
  <si>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</si>
  <si>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</si>
  <si>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</si>
  <si>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</si>
  <si>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</si>
  <si>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</si>
  <si>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</si>
  <si>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</si>
  <si>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</si>
  <si>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</si>
  <si>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</si>
  <si>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</si>
  <si>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</si>
  <si>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</si>
  <si>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</si>
  <si>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</si>
  <si>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</si>
  <si>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</si>
  <si>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</si>
  <si>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</si>
  <si>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</si>
  <si>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</si>
  <si>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</si>
  <si>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</si>
  <si>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</si>
  <si>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</si>
  <si>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</si>
  <si>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</si>
  <si>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</si>
  <si>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</si>
  <si>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</si>
  <si>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</si>
  <si>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</si>
  <si>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</si>
  <si>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</si>
  <si>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</si>
  <si>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</si>
  <si>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</si>
  <si>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</si>
  <si>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</si>
  <si>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</si>
  <si>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</si>
  <si>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</si>
  <si>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</si>
  <si>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</si>
  <si>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</si>
  <si>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</si>
  <si>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</si>
  <si>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</si>
  <si>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</si>
  <si>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</si>
  <si>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</si>
  <si>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</si>
  <si>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</si>
  <si>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</si>
  <si>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</si>
  <si>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</si>
  <si>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</si>
  <si>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</si>
  <si>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</si>
  <si>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</si>
  <si>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</si>
  <si>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</si>
  <si>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</si>
  <si>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</si>
  <si>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</si>
  <si>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</si>
  <si>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</si>
  <si>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</si>
  <si>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</si>
  <si>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</si>
  <si>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</si>
  <si>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</si>
  <si>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</si>
  <si>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</si>
  <si>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</si>
  <si>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</si>
  <si>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</si>
  <si>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</si>
  <si>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</si>
  <si>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</si>
  <si>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</si>
  <si>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</si>
  <si>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</si>
  <si>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</si>
  <si>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</si>
  <si>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</si>
  <si>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</si>
  <si>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</si>
  <si>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</si>
  <si>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</si>
  <si>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</si>
  <si>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</si>
  <si>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</si>
  <si>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</si>
  <si>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</si>
  <si>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</si>
  <si>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</si>
  <si>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</si>
  <si>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</si>
  <si>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</si>
  <si>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</si>
  <si>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</si>
  <si>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</si>
  <si>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</si>
  <si>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</si>
  <si>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</si>
  <si>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</si>
  <si>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</si>
  <si>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</si>
  <si>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</si>
  <si>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</si>
  <si>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</si>
  <si>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</si>
  <si>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</si>
  <si>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</si>
  <si>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</si>
  <si>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</si>
  <si>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</si>
  <si>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</si>
  <si>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</si>
  <si>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</si>
  <si>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</si>
  <si>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</si>
  <si>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</si>
  <si>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</si>
  <si>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</si>
  <si>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</si>
  <si>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</si>
  <si>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</si>
  <si>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</si>
  <si>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</si>
  <si>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</si>
  <si>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</si>
  <si>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</si>
  <si>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</si>
  <si>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</si>
  <si>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</si>
  <si>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</si>
  <si>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</si>
  <si>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</si>
  <si>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</si>
  <si>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</si>
  <si>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</si>
  <si>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</si>
  <si>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</si>
  <si>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</si>
  <si>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</si>
  <si>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</si>
  <si>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</si>
  <si>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</si>
  <si>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</si>
  <si>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</si>
  <si>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</si>
  <si>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</si>
  <si>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</si>
  <si>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</si>
  <si>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</si>
  <si>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</si>
  <si>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</si>
  <si>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</si>
  <si>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</si>
  <si>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</si>
  <si>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</si>
  <si>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</si>
  <si>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</si>
  <si>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</si>
  <si>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</si>
  <si>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</si>
  <si>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</si>
  <si>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</si>
  <si>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</si>
  <si>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</si>
  <si>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</si>
  <si>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</si>
  <si>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</si>
  <si>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</si>
  <si>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</si>
  <si>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</si>
  <si>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</si>
  <si>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</si>
  <si>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</si>
  <si>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</si>
  <si>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</si>
  <si>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</si>
  <si>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</si>
  <si>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</si>
  <si>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</si>
  <si>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</si>
  <si>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</si>
  <si>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</si>
  <si>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</si>
  <si>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</si>
  <si>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</si>
  <si>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</si>
  <si>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</si>
  <si>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</si>
  <si>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</si>
  <si>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</si>
  <si>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</si>
  <si>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</si>
  <si>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</si>
  <si>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</si>
  <si>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</si>
  <si>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</si>
  <si>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</si>
  <si>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</si>
  <si>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</si>
  <si>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</si>
  <si>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</si>
  <si>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</si>
  <si>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</si>
  <si>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</si>
  <si>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</si>
  <si>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</si>
  <si>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</si>
  <si>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</si>
  <si>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</si>
  <si>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</si>
  <si>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</si>
  <si>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</si>
  <si>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</si>
  <si>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</si>
  <si>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</si>
  <si>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</si>
  <si>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</si>
  <si>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</si>
  <si>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</si>
  <si>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</si>
  <si>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</si>
  <si>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</si>
  <si>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</si>
  <si>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</si>
  <si>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</si>
  <si>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</si>
  <si>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</si>
  <si>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</si>
  <si>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</si>
  <si>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</si>
  <si>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</si>
  <si>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</si>
  <si>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</si>
  <si>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</si>
  <si>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</si>
  <si>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</si>
  <si>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</si>
  <si>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</si>
  <si>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</si>
  <si>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</si>
  <si>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</si>
  <si>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</si>
  <si>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</si>
  <si>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</si>
  <si>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</si>
  <si>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</si>
  <si>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</si>
  <si>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</si>
  <si>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</si>
  <si>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</si>
  <si>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</si>
  <si>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</si>
  <si>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</si>
  <si>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</si>
  <si>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</si>
  <si>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</si>
  <si>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</si>
  <si>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</si>
  <si>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</si>
  <si>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</si>
  <si>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</si>
  <si>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</si>
  <si>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</si>
  <si>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</si>
  <si>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</si>
  <si>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</si>
  <si>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</si>
  <si>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</si>
  <si>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</si>
  <si>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</si>
  <si>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</si>
  <si>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</si>
  <si>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</si>
  <si>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</si>
  <si>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</si>
  <si>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</si>
  <si>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</si>
  <si>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</si>
  <si>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</si>
  <si>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</si>
  <si>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</si>
  <si>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</si>
  <si>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</si>
  <si>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</si>
  <si>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</si>
  <si>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</si>
  <si>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</si>
  <si>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</si>
  <si>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</si>
  <si>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</si>
  <si>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</si>
  <si>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</si>
  <si>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</si>
  <si>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</si>
  <si>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</si>
  <si>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</si>
  <si>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</si>
  <si>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</si>
  <si>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</si>
  <si>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</si>
  <si>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</si>
  <si>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</si>
  <si>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</si>
  <si>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</si>
  <si>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</si>
  <si>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</si>
  <si>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</si>
  <si>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</si>
  <si>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</si>
  <si>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</si>
  <si>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</si>
  <si>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</si>
  <si>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</si>
  <si>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</si>
  <si>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</si>
  <si>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</si>
  <si>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</si>
  <si>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</si>
  <si>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</si>
  <si>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</si>
  <si>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</si>
  <si>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</si>
  <si>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</si>
  <si>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</si>
  <si>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</si>
  <si>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</si>
  <si>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</si>
  <si>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</si>
  <si>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</si>
  <si>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</si>
  <si>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</si>
  <si>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</si>
  <si>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</si>
  <si>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</si>
  <si>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</si>
  <si>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</si>
  <si>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</si>
  <si>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</si>
  <si>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</si>
  <si>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</si>
  <si>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</si>
  <si>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</si>
  <si>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</si>
  <si>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</si>
  <si>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</si>
  <si>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</si>
  <si>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</si>
  <si>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</si>
  <si>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</si>
  <si>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</si>
  <si>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</si>
  <si>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</si>
  <si>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</si>
  <si>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</si>
  <si>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</si>
  <si>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</si>
  <si>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</si>
  <si>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</si>
  <si>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</si>
  <si>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</si>
  <si>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</si>
  <si>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</si>
  <si>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</si>
  <si>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</si>
  <si>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</si>
  <si>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</si>
  <si>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</si>
  <si>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</si>
  <si>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</si>
  <si>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</si>
  <si>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</si>
  <si>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</si>
  <si>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</si>
  <si>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</si>
  <si>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</si>
  <si>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</si>
  <si>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</si>
  <si>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</si>
  <si>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</si>
  <si>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</si>
  <si>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</si>
  <si>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</si>
  <si>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</si>
  <si>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</si>
  <si>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</si>
  <si>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</si>
  <si>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</si>
  <si>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</si>
  <si>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</si>
  <si>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</si>
  <si>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</si>
  <si>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</si>
  <si>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</si>
  <si>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</si>
  <si>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</si>
  <si>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</si>
  <si>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</si>
  <si>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</si>
  <si>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</si>
  <si>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</si>
  <si>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</si>
  <si>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</si>
  <si>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</si>
  <si>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</si>
  <si>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</si>
  <si>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</si>
  <si>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</si>
  <si>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</si>
  <si>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</si>
  <si>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</si>
  <si>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</si>
  <si>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</si>
  <si>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</si>
  <si>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</si>
  <si>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</si>
  <si>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</si>
  <si>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</si>
  <si>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</si>
  <si>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</si>
  <si>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</si>
  <si>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</si>
  <si>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</si>
  <si>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</si>
  <si>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</si>
  <si>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</si>
  <si>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</si>
  <si>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</si>
  <si>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</si>
  <si>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</si>
  <si>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</si>
  <si>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</si>
  <si>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</si>
  <si>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</si>
  <si>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</si>
  <si>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</si>
  <si>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</si>
  <si>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</si>
  <si>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</si>
  <si>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</si>
  <si>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</si>
  <si>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</si>
  <si>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</si>
  <si>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</si>
  <si>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</si>
  <si>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</si>
  <si>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</si>
  <si>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</si>
  <si>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</si>
  <si>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</si>
  <si>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</si>
  <si>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</si>
  <si>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</si>
  <si>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</si>
  <si>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</si>
  <si>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</si>
  <si>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</si>
  <si>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</si>
  <si>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</si>
  <si>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</si>
  <si>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</si>
  <si>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</si>
  <si>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</si>
  <si>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</si>
  <si>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</si>
  <si>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</si>
  <si>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</si>
  <si>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</si>
  <si>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</si>
  <si>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</si>
  <si>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</si>
  <si>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</si>
  <si>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</si>
  <si>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</si>
  <si>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</si>
  <si>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</si>
  <si>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</si>
  <si>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</si>
  <si>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</si>
  <si>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</si>
  <si>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</si>
  <si>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</si>
  <si>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</si>
  <si>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</si>
  <si>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</si>
  <si>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</si>
  <si>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</si>
  <si>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</si>
  <si>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</si>
  <si>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</si>
  <si>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</si>
  <si>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</si>
  <si>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</si>
  <si>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</si>
  <si>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</si>
  <si>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</si>
  <si>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</si>
  <si>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</si>
  <si>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</si>
  <si>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</si>
  <si>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</si>
  <si>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</si>
  <si>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</si>
  <si>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</si>
  <si>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</si>
  <si>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</si>
  <si>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</si>
  <si>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</si>
  <si>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</si>
  <si>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</si>
  <si>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</si>
  <si>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</si>
  <si>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</si>
  <si>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</si>
  <si>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</si>
  <si>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</si>
  <si>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</si>
  <si>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</si>
  <si>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</si>
  <si>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</si>
  <si>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</si>
  <si>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</si>
  <si>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</si>
  <si>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</si>
  <si>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</si>
  <si>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</si>
  <si>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</si>
  <si>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</si>
  <si>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</si>
  <si>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</si>
  <si>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</si>
  <si>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</si>
  <si>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</si>
  <si>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</si>
  <si>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</si>
  <si>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</si>
  <si>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</si>
  <si>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</si>
  <si>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</si>
  <si>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</si>
  <si>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</si>
  <si>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</si>
  <si>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</si>
  <si>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</si>
  <si>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</si>
  <si>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</si>
  <si>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</si>
  <si>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</si>
  <si>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</si>
  <si>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</si>
  <si>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</si>
  <si>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</si>
  <si>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</si>
  <si>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</si>
  <si>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</si>
  <si>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</si>
  <si>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</si>
  <si>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</si>
  <si>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</si>
  <si>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</si>
  <si>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</si>
  <si>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</si>
  <si>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</si>
  <si>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</si>
  <si>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</si>
  <si>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</si>
  <si>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</si>
  <si>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</si>
  <si>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</si>
  <si>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</si>
  <si>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</si>
  <si>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</si>
  <si>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</si>
  <si>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</si>
  <si>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</si>
  <si>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</si>
  <si>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</si>
  <si>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</si>
  <si>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</si>
  <si>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</si>
  <si>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</si>
  <si>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</si>
  <si>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</si>
  <si>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</si>
  <si>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</si>
  <si>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</si>
  <si>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</si>
  <si>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</si>
  <si>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</si>
  <si>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</si>
  <si>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</si>
  <si>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</si>
  <si>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</si>
  <si>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</si>
  <si>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</si>
  <si>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</si>
  <si>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</si>
  <si>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</si>
  <si>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</si>
  <si>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</si>
  <si>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</si>
  <si>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</si>
  <si>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</si>
  <si>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</si>
  <si>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</si>
  <si>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</si>
  <si>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</si>
  <si>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</si>
  <si>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</si>
  <si>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</si>
  <si>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</si>
  <si>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</si>
  <si>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</si>
  <si>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</si>
  <si>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</si>
  <si>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</si>
  <si>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</si>
  <si>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</si>
  <si>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</si>
  <si>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</si>
  <si>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</si>
  <si>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</si>
  <si>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</si>
  <si>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</si>
  <si>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</si>
  <si>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</si>
  <si>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</si>
  <si>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</si>
  <si>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</si>
  <si>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</si>
  <si>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</si>
  <si>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</si>
  <si>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</si>
  <si>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</si>
  <si>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</si>
  <si>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</si>
  <si>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</si>
  <si>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</si>
  <si>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</si>
  <si>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</si>
  <si>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</si>
  <si>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</si>
  <si>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</si>
  <si>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</si>
  <si>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</si>
  <si>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</si>
  <si>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</si>
  <si>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</si>
  <si>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</si>
  <si>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</si>
  <si>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</si>
  <si>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</si>
  <si>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</si>
  <si>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</si>
  <si>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</si>
  <si>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</si>
  <si>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</si>
  <si>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</si>
  <si>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</si>
  <si>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</si>
  <si>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</si>
  <si>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</si>
  <si>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</si>
  <si>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</si>
  <si>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</si>
  <si>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</si>
  <si>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</si>
  <si>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</si>
  <si>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</si>
  <si>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</si>
  <si>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</si>
  <si>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</si>
  <si>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</si>
  <si>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</si>
  <si>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</si>
  <si>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</si>
  <si>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</si>
  <si>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</si>
  <si>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</si>
  <si>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</si>
  <si>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</si>
  <si>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</si>
  <si>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</si>
  <si>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</si>
  <si>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</si>
  <si>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</si>
  <si>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</si>
  <si>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</si>
  <si>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</si>
  <si>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</si>
  <si>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 1: Working Hours</t>
  </si>
  <si>
    <t xml:space="preserve">     </t>
  </si>
  <si>
    <t>Anita Dixit</t>
  </si>
  <si>
    <t>Deepak Kumar</t>
  </si>
  <si>
    <t>Sum of Active With Cust.</t>
  </si>
  <si>
    <t>Report 2: Active With Customers.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</si>
</sst>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1"/>
      <name val="Bahnschrif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3" fillId="0" borderId="0" xfId="0" applyFont="1"/>
    <xf numFmtId="0" fontId="8" fillId="5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0" xfId="0" applyNumberFormat="1"/>
  </cellXfs>
  <cellStyles count="2">
    <cellStyle name="Normal" xfId="0" builtinId="0"/>
    <cellStyle name="Percent" xfId="1" builtinId="5"/>
  </cellStyles>
  <dxfs count="2">
    <dxf>
      <numFmt numFmtId="165" formatCode="[$-F400]h:mm:ss\ AM/PM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[Dashboard_dataset_usingPivotTable.xlsm]Dashboard!PivotTable1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D-46DE-B00E-1AA59C9FE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1968368"/>
        <c:axId val="831968848"/>
      </c:barChart>
      <c:catAx>
        <c:axId val="83196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968848"/>
        <c:crosses val="autoZero"/>
        <c:auto val="1"/>
        <c:lblAlgn val="ctr"/>
        <c:lblOffset val="100"/>
        <c:noMultiLvlLbl val="0"/>
      </c:catAx>
      <c:valAx>
        <c:axId val="831968848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83196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[Dashboard_dataset_usingPivotTable.xlsm]Dashboard!PivotTable3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Dashboard!$D$5:$D$11</c:f>
              <c:strCache>
                <c:ptCount val="7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Manoj Kumar</c:v>
                </c:pt>
                <c:pt idx="4">
                  <c:v>Rajesh Kumar</c:v>
                </c:pt>
                <c:pt idx="5">
                  <c:v>Santosh Kumar</c:v>
                </c:pt>
                <c:pt idx="6">
                  <c:v>Sunil Kumar</c:v>
                </c:pt>
              </c:strCache>
            </c:strRef>
          </c:cat>
          <c:val>
            <c:numRef>
              <c:f>Dashboard!$E$5:$E$11</c:f>
              <c:numCache>
                <c:formatCode>0%</c:formatCode>
                <c:ptCount val="7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1.064298009533315</c:v>
                </c:pt>
                <c:pt idx="4">
                  <c:v>1.122824596941316</c:v>
                </c:pt>
                <c:pt idx="5">
                  <c:v>1.7236731368386569</c:v>
                </c:pt>
                <c:pt idx="6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B8-42ED-8614-A475415BF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2" max="200" min="1" page="10" val="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1371601</xdr:colOff>
      <xdr:row>0</xdr:row>
      <xdr:rowOff>27709</xdr:rowOff>
    </xdr:from>
    <xdr:to>
      <xdr:col>1</xdr:col>
      <xdr:colOff>1981201</xdr:colOff>
      <xdr:row>1</xdr:row>
      <xdr:rowOff>152400</xdr:rowOff>
    </xdr:to>
    <xdr:sp macro="" textlink="$C$1">
      <xdr:nvSpPr>
        <xdr:cNvPr id="12" name="Rectangle 11">
          <a:extLst>
            <a:ext uri="{FF2B5EF4-FFF2-40B4-BE49-F238E27FC236}">
              <a16:creationId xmlns:a16="http://schemas.microsoft.com/office/drawing/2014/main" id="{F1243F45-03FC-A9C5-90B8-931BC221ED2A}"/>
            </a:ext>
          </a:extLst>
        </xdr:cNvPr>
        <xdr:cNvSpPr/>
      </xdr:nvSpPr>
      <xdr:spPr>
        <a:xfrm>
          <a:off x="2313710" y="27709"/>
          <a:ext cx="609600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78A17AE-4CA0-4433-9E83-70ABC3BE6FB6}" type="TxLink">
            <a:rPr lang="en-US" sz="1400" b="1" i="0" u="none" strike="noStrike">
              <a:solidFill>
                <a:srgbClr val="000000"/>
              </a:solidFill>
              <a:latin typeface="Baskerville Old Face" panose="02020602080505020303" pitchFamily="18" charset="0"/>
              <a:ea typeface="Calibri"/>
              <a:cs typeface="Calibri"/>
            </a:rPr>
            <a:pPr algn="r"/>
            <a:t>5</a:t>
          </a:fld>
          <a:endParaRPr lang="en-IN" sz="1400" b="1">
            <a:latin typeface="Baskerville Old Face" panose="02020602080505020303" pitchFamily="18" charset="0"/>
          </a:endParaRPr>
        </a:p>
      </xdr:txBody>
    </xdr:sp>
    <xdr:clientData/>
  </xdr:twoCellAnchor>
  <xdr:twoCellAnchor>
    <xdr:from>
      <xdr:col>0</xdr:col>
      <xdr:colOff>10390</xdr:colOff>
      <xdr:row>9</xdr:row>
      <xdr:rowOff>145473</xdr:rowOff>
    </xdr:from>
    <xdr:to>
      <xdr:col>1</xdr:col>
      <xdr:colOff>2680855</xdr:colOff>
      <xdr:row>21</xdr:row>
      <xdr:rowOff>138544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99C35E-1A2C-B50E-F5F2-C769103502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34637</xdr:colOff>
      <xdr:row>0</xdr:row>
      <xdr:rowOff>27710</xdr:rowOff>
    </xdr:from>
    <xdr:to>
      <xdr:col>1</xdr:col>
      <xdr:colOff>96982</xdr:colOff>
      <xdr:row>1</xdr:row>
      <xdr:rowOff>145472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48B2DC-0561-BCAE-A9A3-EFE8849690A7}"/>
            </a:ext>
          </a:extLst>
        </xdr:cNvPr>
        <xdr:cNvSpPr/>
      </xdr:nvSpPr>
      <xdr:spPr>
        <a:xfrm>
          <a:off x="34637" y="27710"/>
          <a:ext cx="1004454" cy="297871"/>
        </a:xfrm>
        <a:prstGeom prst="rightArrow">
          <a:avLst>
            <a:gd name="adj1" fmla="val 100000"/>
            <a:gd name="adj2" fmla="val 106504"/>
          </a:avLst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1424940</xdr:colOff>
          <xdr:row>0</xdr:row>
          <xdr:rowOff>60960</xdr:rowOff>
        </xdr:from>
        <xdr:to>
          <xdr:col>1</xdr:col>
          <xdr:colOff>1577340</xdr:colOff>
          <xdr:row>1</xdr:row>
          <xdr:rowOff>129540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131618</xdr:colOff>
      <xdr:row>0</xdr:row>
      <xdr:rowOff>0</xdr:rowOff>
    </xdr:from>
    <xdr:to>
      <xdr:col>1</xdr:col>
      <xdr:colOff>586508</xdr:colOff>
      <xdr:row>1</xdr:row>
      <xdr:rowOff>145473</xdr:rowOff>
    </xdr:to>
    <xdr:pic macro="[0]!Show_Chart1">
      <xdr:nvPicPr>
        <xdr:cNvPr id="9" name="Picture 8" hidden="1">
          <a:extLst>
            <a:ext uri="{FF2B5EF4-FFF2-40B4-BE49-F238E27FC236}">
              <a16:creationId xmlns:a16="http://schemas.microsoft.com/office/drawing/2014/main" id="{B4A5E569-CE16-DF04-181A-EF363F5D0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727" y="0"/>
          <a:ext cx="454890" cy="325582"/>
        </a:xfrm>
        <a:prstGeom prst="rect">
          <a:avLst/>
        </a:prstGeom>
      </xdr:spPr>
    </xdr:pic>
    <xdr:clientData/>
  </xdr:twoCellAnchor>
  <xdr:twoCellAnchor editAs="oneCell">
    <xdr:from>
      <xdr:col>1</xdr:col>
      <xdr:colOff>145473</xdr:colOff>
      <xdr:row>0</xdr:row>
      <xdr:rowOff>0</xdr:rowOff>
    </xdr:from>
    <xdr:to>
      <xdr:col>1</xdr:col>
      <xdr:colOff>588820</xdr:colOff>
      <xdr:row>1</xdr:row>
      <xdr:rowOff>129530</xdr:rowOff>
    </xdr:to>
    <xdr:pic macro="[0]!Hide_Chart1">
      <xdr:nvPicPr>
        <xdr:cNvPr id="11" name="Picture 10">
          <a:extLst>
            <a:ext uri="{FF2B5EF4-FFF2-40B4-BE49-F238E27FC236}">
              <a16:creationId xmlns:a16="http://schemas.microsoft.com/office/drawing/2014/main" id="{1DCA4FD3-B6E5-7293-0787-383ECC7FC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582" y="0"/>
          <a:ext cx="443347" cy="309639"/>
        </a:xfrm>
        <a:prstGeom prst="rect">
          <a:avLst/>
        </a:prstGeom>
      </xdr:spPr>
    </xdr:pic>
    <xdr:clientData/>
  </xdr:twoCellAnchor>
  <xdr:twoCellAnchor>
    <xdr:from>
      <xdr:col>4</xdr:col>
      <xdr:colOff>1371601</xdr:colOff>
      <xdr:row>0</xdr:row>
      <xdr:rowOff>27709</xdr:rowOff>
    </xdr:from>
    <xdr:to>
      <xdr:col>4</xdr:col>
      <xdr:colOff>1981201</xdr:colOff>
      <xdr:row>1</xdr:row>
      <xdr:rowOff>152400</xdr:rowOff>
    </xdr:to>
    <xdr:sp macro="" textlink="$C$2">
      <xdr:nvSpPr>
        <xdr:cNvPr id="4" name="Rectangle 3">
          <a:extLst>
            <a:ext uri="{FF2B5EF4-FFF2-40B4-BE49-F238E27FC236}">
              <a16:creationId xmlns:a16="http://schemas.microsoft.com/office/drawing/2014/main" id="{AFCA7B12-3019-4E6A-93CF-EB9CE82FEA14}"/>
            </a:ext>
          </a:extLst>
        </xdr:cNvPr>
        <xdr:cNvSpPr/>
      </xdr:nvSpPr>
      <xdr:spPr>
        <a:xfrm>
          <a:off x="2313710" y="27709"/>
          <a:ext cx="609600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C035BFE6-7AAB-4F56-B40F-69B6A7F3C989}" type="TxLink">
            <a:rPr lang="en-US" sz="1400" b="1" i="0" u="none" strike="noStrike">
              <a:solidFill>
                <a:srgbClr val="000000"/>
              </a:solidFill>
              <a:latin typeface="Baskerville Old Face" panose="02020602080505020303" pitchFamily="18" charset="0"/>
              <a:ea typeface="Calibri"/>
              <a:cs typeface="Calibri"/>
            </a:rPr>
            <a:t>7</a:t>
          </a:fld>
          <a:endParaRPr lang="en-IN" sz="1400" b="1">
            <a:latin typeface="Baskerville Old Face" panose="02020602080505020303" pitchFamily="18" charset="0"/>
          </a:endParaRPr>
        </a:p>
      </xdr:txBody>
    </xdr:sp>
    <xdr:clientData/>
  </xdr:twoCellAnchor>
  <xdr:twoCellAnchor>
    <xdr:from>
      <xdr:col>3</xdr:col>
      <xdr:colOff>34637</xdr:colOff>
      <xdr:row>0</xdr:row>
      <xdr:rowOff>27710</xdr:rowOff>
    </xdr:from>
    <xdr:to>
      <xdr:col>4</xdr:col>
      <xdr:colOff>96982</xdr:colOff>
      <xdr:row>1</xdr:row>
      <xdr:rowOff>145472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9AE0F596-E953-4C44-B1FF-60D0683F9C33}"/>
            </a:ext>
          </a:extLst>
        </xdr:cNvPr>
        <xdr:cNvSpPr/>
      </xdr:nvSpPr>
      <xdr:spPr>
        <a:xfrm>
          <a:off x="34637" y="27710"/>
          <a:ext cx="1004454" cy="297871"/>
        </a:xfrm>
        <a:prstGeom prst="rightArrow">
          <a:avLst>
            <a:gd name="adj1" fmla="val 100000"/>
            <a:gd name="adj2" fmla="val 106504"/>
          </a:avLst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1424940</xdr:colOff>
          <xdr:row>0</xdr:row>
          <xdr:rowOff>60960</xdr:rowOff>
        </xdr:from>
        <xdr:to>
          <xdr:col>4</xdr:col>
          <xdr:colOff>1577340</xdr:colOff>
          <xdr:row>1</xdr:row>
          <xdr:rowOff>129540</xdr:rowOff>
        </xdr:to>
        <xdr:sp macro="" textlink="">
          <xdr:nvSpPr>
            <xdr:cNvPr id="10243" name="Spinner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D5877EF4-AAB0-4197-8F03-AFF9C0750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4</xdr:col>
      <xdr:colOff>152399</xdr:colOff>
      <xdr:row>0</xdr:row>
      <xdr:rowOff>0</xdr:rowOff>
    </xdr:from>
    <xdr:ext cx="434110" cy="325582"/>
    <xdr:pic macro="[0]!Show_Chart1">
      <xdr:nvPicPr>
        <xdr:cNvPr id="6" name="Picture 5" hidden="1">
          <a:extLst>
            <a:ext uri="{FF2B5EF4-FFF2-40B4-BE49-F238E27FC236}">
              <a16:creationId xmlns:a16="http://schemas.microsoft.com/office/drawing/2014/main" id="{6818EE52-06A3-410A-B2A5-05740500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508" y="0"/>
          <a:ext cx="434110" cy="325582"/>
        </a:xfrm>
        <a:prstGeom prst="rect">
          <a:avLst/>
        </a:prstGeom>
      </xdr:spPr>
    </xdr:pic>
    <xdr:clientData/>
  </xdr:oneCellAnchor>
  <xdr:twoCellAnchor>
    <xdr:from>
      <xdr:col>3</xdr:col>
      <xdr:colOff>17318</xdr:colOff>
      <xdr:row>9</xdr:row>
      <xdr:rowOff>159328</xdr:rowOff>
    </xdr:from>
    <xdr:to>
      <xdr:col>5</xdr:col>
      <xdr:colOff>6928</xdr:colOff>
      <xdr:row>23</xdr:row>
      <xdr:rowOff>20782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7F4D8FA-28CC-25FA-CEED-3C807BDF8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rajput" refreshedDate="46137.850403240744" createdVersion="8" refreshedVersion="8" minRefreshableVersion="3" recordCount="149" xr:uid="{7EEE6BE5-686E-4414-AACB-020264C50DAF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3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352967-85A0-4D2A-B5E4-8DF7A86CA7CA}" name="PivotTable3" cacheId="8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6">
  <location ref="D4:E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showAll="0"/>
    <pivotField showAll="0"/>
    <pivotField showAll="0"/>
    <pivotField numFmtId="3" showAll="0"/>
    <pivotField dataField="1" numFmtId="9" showAll="0"/>
  </pivotFields>
  <rowFields count="1">
    <field x="1"/>
  </rowFields>
  <rowItems count="7">
    <i>
      <x v="5"/>
    </i>
    <i>
      <x v="15"/>
    </i>
    <i>
      <x v="22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7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7510C-4196-4C62-8987-FAB8162C07BB}" name="PivotTable1" cacheId="8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showAll="0"/>
    <pivotField showAll="0"/>
    <pivotField showAll="0"/>
    <pivotField numFmtId="3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2" numFmtId="165"/>
  </dataFields>
  <formats count="2">
    <format dxfId="1">
      <pivotArea collapsedLevelsAreSubtotals="1" fieldPosition="0">
        <references count="1">
          <reference field="1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/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J1" zoomScale="175" zoomScaleNormal="175" workbookViewId="0">
      <selection activeCell="C2" sqref="C2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topLeftCell="B129" zoomScale="120" zoomScaleNormal="120" workbookViewId="0">
      <selection sqref="A1:G150"/>
    </sheetView>
  </sheetViews>
  <sheetFormatPr defaultRowHeight="14.4" x14ac:dyDescent="0.3"/>
  <cols>
    <col min="1" max="1" width="33.77734375" bestFit="1" customWidth="1"/>
    <col min="2" max="2" width="20.21875" bestFit="1" customWidth="1"/>
    <col min="3" max="3" width="29.88671875" customWidth="1"/>
    <col min="4" max="4" width="18.77734375" customWidth="1"/>
    <col min="5" max="5" width="17.6640625" customWidth="1"/>
    <col min="6" max="6" width="12" bestFit="1" customWidth="1"/>
    <col min="7" max="7" width="13.88671875" bestFit="1" customWidth="1"/>
  </cols>
  <sheetData>
    <row r="1" spans="1:7" x14ac:dyDescent="0.3">
      <c r="A1" s="1" t="s">
        <v>0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TRIM(MID(A2,5,FIND("(",A2)-5))</f>
        <v>Abdul Hamid</v>
      </c>
      <c r="C2" s="12">
        <f>TIMEVALUE(Efficiency!B2)</f>
        <v>0.34424768518518517</v>
      </c>
      <c r="D2" s="12">
        <f>TIMEVALUE(Efficiency!C2)</f>
        <v>0.20693287037037036</v>
      </c>
      <c r="E2" s="12">
        <f>TIMEVALUE(Break!I2)</f>
        <v>4.7708333333333332E-2</v>
      </c>
      <c r="F2" s="16">
        <f>'OverAll Performance'!B2</f>
        <v>98</v>
      </c>
      <c r="G2" s="13">
        <f>Efficiency!F2</f>
        <v>0.55697138822580095</v>
      </c>
    </row>
    <row r="3" spans="1:7" x14ac:dyDescent="0.3">
      <c r="A3" t="str">
        <f>Break!A3</f>
        <v>Mum_Afzal Husain (1008513)</v>
      </c>
      <c r="B3" t="str">
        <f t="shared" ref="B3:B66" si="0">TRIM(MID(A3,5,FIND("(",A3)-5))</f>
        <v>Afzal Husain</v>
      </c>
      <c r="C3" s="12">
        <f>TIMEVALUE(Efficiency!B3)</f>
        <v>0.34416666666666668</v>
      </c>
      <c r="D3" s="12">
        <f>TIMEVALUE(Efficiency!C3)</f>
        <v>0.20733796296296297</v>
      </c>
      <c r="E3" s="12">
        <f>TIMEVALUE(Break!I3)</f>
        <v>4.8599537037037038E-2</v>
      </c>
      <c r="F3" s="16">
        <f>'OverAll Performance'!B3</f>
        <v>23</v>
      </c>
      <c r="G3" s="13">
        <f>Efficiency!F3</f>
        <v>0.58027306967984904</v>
      </c>
    </row>
    <row r="4" spans="1:7" x14ac:dyDescent="0.3">
      <c r="A4" t="str">
        <f>Break!A4</f>
        <v>Mum_Anamika Gupta (1008514)</v>
      </c>
      <c r="B4" t="str">
        <f t="shared" si="0"/>
        <v>Anamika Gupta</v>
      </c>
      <c r="C4" s="12">
        <f>TIMEVALUE(Efficiency!B4)</f>
        <v>0.34510416666666666</v>
      </c>
      <c r="D4" s="12">
        <f>TIMEVALUE(Efficiency!C4)</f>
        <v>0.20109953703703703</v>
      </c>
      <c r="E4" s="12">
        <f>TIMEVALUE(Break!I4)</f>
        <v>5.1319444444444445E-2</v>
      </c>
      <c r="F4" s="16">
        <f>'OverAll Performance'!B4</f>
        <v>28</v>
      </c>
      <c r="G4" s="13">
        <f>Efficiency!F4</f>
        <v>0.51708756749505302</v>
      </c>
    </row>
    <row r="5" spans="1:7" x14ac:dyDescent="0.3">
      <c r="A5" t="str">
        <f>Break!A5</f>
        <v>Mum_Anikuttan (1008515)</v>
      </c>
      <c r="B5" t="str">
        <f t="shared" si="0"/>
        <v>Anikuttan</v>
      </c>
      <c r="C5" s="12">
        <f>TIMEVALUE(Efficiency!B5)</f>
        <v>0.34023148148148147</v>
      </c>
      <c r="D5" s="12">
        <f>TIMEVALUE(Efficiency!C5)</f>
        <v>0.17884259259259258</v>
      </c>
      <c r="E5" s="12">
        <f>TIMEVALUE(Break!I5)</f>
        <v>9.6550925925925929E-2</v>
      </c>
      <c r="F5" s="16">
        <f>'OverAll Performance'!B5</f>
        <v>29</v>
      </c>
      <c r="G5" s="13">
        <f>Efficiency!F5</f>
        <v>0.47720778337188702</v>
      </c>
    </row>
    <row r="6" spans="1:7" x14ac:dyDescent="0.3">
      <c r="A6" t="str">
        <f>Break!A6</f>
        <v>Mum_Anil Kumar (1008516)</v>
      </c>
      <c r="B6" t="str">
        <f t="shared" si="0"/>
        <v>Anil Kumar</v>
      </c>
      <c r="C6" s="12">
        <f>TIMEVALUE(Efficiency!B6)</f>
        <v>0.30603009259259262</v>
      </c>
      <c r="D6" s="12">
        <f>TIMEVALUE(Efficiency!C6)</f>
        <v>0.13870370370370369</v>
      </c>
      <c r="E6" s="12">
        <f>TIMEVALUE(Break!I6)</f>
        <v>0.12844907407407408</v>
      </c>
      <c r="F6" s="16">
        <f>'OverAll Performance'!B6</f>
        <v>93</v>
      </c>
      <c r="G6" s="13">
        <f>Efficiency!F6</f>
        <v>0.43288831738587802</v>
      </c>
    </row>
    <row r="7" spans="1:7" x14ac:dyDescent="0.3">
      <c r="A7" t="str">
        <f>Break!A7</f>
        <v>Mum_Anita Dixit (1008517)</v>
      </c>
      <c r="B7" t="str">
        <f t="shared" si="0"/>
        <v>Anita Dixit</v>
      </c>
      <c r="C7" s="12">
        <f>TIMEVALUE(Efficiency!B7)</f>
        <v>0.2084375</v>
      </c>
      <c r="D7" s="12">
        <f>TIMEVALUE(Efficiency!C7)</f>
        <v>0.15369212962962964</v>
      </c>
      <c r="E7" s="12">
        <f>TIMEVALUE(Break!I7)</f>
        <v>1.8831018518518518E-2</v>
      </c>
      <c r="F7" s="16">
        <f>'OverAll Performance'!B7</f>
        <v>92</v>
      </c>
      <c r="G7" s="13">
        <f>Efficiency!F7</f>
        <v>0.65495030262646503</v>
      </c>
    </row>
    <row r="8" spans="1:7" x14ac:dyDescent="0.3">
      <c r="A8" t="str">
        <f>Break!A8</f>
        <v>Mum_Anita Ghore (1008518)</v>
      </c>
      <c r="B8" t="str">
        <f t="shared" si="0"/>
        <v>Anita Ghore</v>
      </c>
      <c r="C8" s="12">
        <f>TIMEVALUE(Efficiency!B8)</f>
        <v>0.34488425925925925</v>
      </c>
      <c r="D8" s="12">
        <f>TIMEVALUE(Efficiency!C8)</f>
        <v>0.17553240740740741</v>
      </c>
      <c r="E8" s="12">
        <f>TIMEVALUE(Break!I8)</f>
        <v>0.11229166666666666</v>
      </c>
      <c r="F8" s="16">
        <f>'OverAll Performance'!B8</f>
        <v>26</v>
      </c>
      <c r="G8" s="13">
        <f>Efficiency!F8</f>
        <v>0.49476474931203401</v>
      </c>
    </row>
    <row r="9" spans="1:7" x14ac:dyDescent="0.3">
      <c r="A9" t="str">
        <f>Break!A9</f>
        <v>Mum_Anjali Deoram (1008519)</v>
      </c>
      <c r="B9" t="str">
        <f t="shared" si="0"/>
        <v>Anjali Deoram</v>
      </c>
      <c r="C9" s="12">
        <f>TIMEVALUE(Efficiency!B9)</f>
        <v>0.38646990740740739</v>
      </c>
      <c r="D9" s="12">
        <f>TIMEVALUE(Efficiency!C9)</f>
        <v>0.24453703703703702</v>
      </c>
      <c r="E9" s="12">
        <f>TIMEVALUE(Break!I9)</f>
        <v>5.0810185185185187E-2</v>
      </c>
      <c r="F9" s="16">
        <f>'OverAll Performance'!B9</f>
        <v>90</v>
      </c>
      <c r="G9" s="13">
        <f>Efficiency!F9</f>
        <v>0.55128627474469205</v>
      </c>
    </row>
    <row r="10" spans="1:7" x14ac:dyDescent="0.3">
      <c r="A10" t="str">
        <f>Break!A10</f>
        <v>Mum_Anjali Sahay (1008520)</v>
      </c>
      <c r="B10" t="str">
        <f t="shared" si="0"/>
        <v>Anjali Sahay</v>
      </c>
      <c r="C10" s="12">
        <f>TIMEVALUE(Efficiency!B10)</f>
        <v>0.34256944444444443</v>
      </c>
      <c r="D10" s="12">
        <f>TIMEVALUE(Efficiency!C10)</f>
        <v>0.20311342592592593</v>
      </c>
      <c r="E10" s="12">
        <f>TIMEVALUE(Break!I10)</f>
        <v>4.628472222222222E-2</v>
      </c>
      <c r="F10" s="16">
        <f>'OverAll Performance'!B10</f>
        <v>89</v>
      </c>
      <c r="G10" s="13">
        <f>Efficiency!F10</f>
        <v>0.55206432867085597</v>
      </c>
    </row>
    <row r="11" spans="1:7" x14ac:dyDescent="0.3">
      <c r="A11" t="str">
        <f>Break!A11</f>
        <v>Mum_Annu Latika (1008521)</v>
      </c>
      <c r="B11" t="str">
        <f t="shared" si="0"/>
        <v>Annu Latika</v>
      </c>
      <c r="C11" s="12">
        <f>TIMEVALUE(Efficiency!B11)</f>
        <v>0.34769675925925925</v>
      </c>
      <c r="D11" s="12">
        <f>TIMEVALUE(Efficiency!C11)</f>
        <v>0.20702546296296295</v>
      </c>
      <c r="E11" s="12">
        <f>TIMEVALUE(Break!I11)</f>
        <v>4.8576388888888891E-2</v>
      </c>
      <c r="F11" s="16">
        <f>'OverAll Performance'!B11</f>
        <v>54</v>
      </c>
      <c r="G11" s="13">
        <f>Efficiency!F11</f>
        <v>0.56868945774108703</v>
      </c>
    </row>
    <row r="12" spans="1:7" x14ac:dyDescent="0.3">
      <c r="A12" t="str">
        <f>Break!A12</f>
        <v>Mum_Anoop Narayan (1008522)</v>
      </c>
      <c r="B12" t="str">
        <f t="shared" si="0"/>
        <v>Anoop Narayan</v>
      </c>
      <c r="C12" s="12">
        <f>TIMEVALUE(Efficiency!B12)</f>
        <v>0.34068287037037037</v>
      </c>
      <c r="D12" s="12">
        <f>TIMEVALUE(Efficiency!C12)</f>
        <v>0.20518518518518519</v>
      </c>
      <c r="E12" s="12">
        <f>TIMEVALUE(Break!I12)</f>
        <v>4.809027777777778E-2</v>
      </c>
      <c r="F12" s="16">
        <f>'OverAll Performance'!B12</f>
        <v>87</v>
      </c>
      <c r="G12" s="13">
        <f>Efficiency!F12</f>
        <v>0.56035332087650802</v>
      </c>
    </row>
    <row r="13" spans="1:7" x14ac:dyDescent="0.3">
      <c r="A13" t="str">
        <f>Break!A13</f>
        <v>Mum_Anoop Raj (1008523)</v>
      </c>
      <c r="B13" t="str">
        <f t="shared" si="0"/>
        <v>Anoop Raj</v>
      </c>
      <c r="C13" s="12">
        <f>TIMEVALUE(Efficiency!B13)</f>
        <v>0.33622685185185186</v>
      </c>
      <c r="D13" s="12">
        <f>TIMEVALUE(Efficiency!C13)</f>
        <v>0.15812499999999999</v>
      </c>
      <c r="E13" s="12">
        <f>TIMEVALUE(Break!I13)</f>
        <v>0.12590277777777778</v>
      </c>
      <c r="F13" s="16">
        <f>'OverAll Performance'!B13</f>
        <v>65</v>
      </c>
      <c r="G13" s="13">
        <f>Efficiency!F13</f>
        <v>0.41552495697073999</v>
      </c>
    </row>
    <row r="14" spans="1:7" x14ac:dyDescent="0.3">
      <c r="A14" t="str">
        <f>Break!A14</f>
        <v>Mum_Anubhuti Gupta (1008524)</v>
      </c>
      <c r="B14" t="str">
        <f t="shared" si="0"/>
        <v>Anubhuti Gupta</v>
      </c>
      <c r="C14" s="12">
        <f>TIMEVALUE(Efficiency!B14)</f>
        <v>0.34349537037037037</v>
      </c>
      <c r="D14" s="12">
        <f>TIMEVALUE(Efficiency!C14)</f>
        <v>0.19699074074074074</v>
      </c>
      <c r="E14" s="12">
        <f>TIMEVALUE(Break!I14)</f>
        <v>8.7974537037037032E-2</v>
      </c>
      <c r="F14" s="16">
        <f>'OverAll Performance'!B14</f>
        <v>85</v>
      </c>
      <c r="G14" s="13">
        <f>Efficiency!F14</f>
        <v>0.50026955994339195</v>
      </c>
    </row>
    <row r="15" spans="1:7" x14ac:dyDescent="0.3">
      <c r="A15" t="str">
        <f>Break!A15</f>
        <v>Mum_Arun Kumar (1008525)</v>
      </c>
      <c r="B15" t="str">
        <f t="shared" si="0"/>
        <v>Arun Kumar</v>
      </c>
      <c r="C15" s="12">
        <f>TIMEVALUE(Efficiency!B15)</f>
        <v>0.33321759259259259</v>
      </c>
      <c r="D15" s="12">
        <f>TIMEVALUE(Efficiency!C15)</f>
        <v>0.19475694444444444</v>
      </c>
      <c r="E15" s="12">
        <f>TIMEVALUE(Break!I15)</f>
        <v>4.9004629629629627E-2</v>
      </c>
      <c r="F15" s="16">
        <f>'OverAll Performance'!B15</f>
        <v>65</v>
      </c>
      <c r="G15" s="13">
        <f>Efficiency!F15</f>
        <v>0.51396318166029897</v>
      </c>
    </row>
    <row r="16" spans="1:7" x14ac:dyDescent="0.3">
      <c r="A16" t="str">
        <f>Break!A16</f>
        <v>Mum_Ashish Kumar (1008526)</v>
      </c>
      <c r="B16" t="str">
        <f t="shared" si="0"/>
        <v>Ashish Kumar</v>
      </c>
      <c r="C16" s="12">
        <f>TIMEVALUE(Efficiency!B16)</f>
        <v>0.34512731481481479</v>
      </c>
      <c r="D16" s="12">
        <f>TIMEVALUE(Efficiency!C16)</f>
        <v>0.2066550925925926</v>
      </c>
      <c r="E16" s="12">
        <f>TIMEVALUE(Break!I16)</f>
        <v>5.3460648148148146E-2</v>
      </c>
      <c r="F16" s="16">
        <f>'OverAll Performance'!B16</f>
        <v>83</v>
      </c>
      <c r="G16" s="13">
        <f>Efficiency!F16</f>
        <v>0.510580502364264</v>
      </c>
    </row>
    <row r="17" spans="1:7" x14ac:dyDescent="0.3">
      <c r="A17" t="str">
        <f>Break!A17</f>
        <v>Mum_Ashok Kumar (1008527)</v>
      </c>
      <c r="B17" t="str">
        <f t="shared" si="0"/>
        <v>Ashok Kumar</v>
      </c>
      <c r="C17" s="12">
        <f>TIMEVALUE(Efficiency!B17)</f>
        <v>0.34531250000000002</v>
      </c>
      <c r="D17" s="12">
        <f>TIMEVALUE(Efficiency!C17)</f>
        <v>0.17390046296296297</v>
      </c>
      <c r="E17" s="12">
        <f>TIMEVALUE(Break!I17)</f>
        <v>0.10023148148148148</v>
      </c>
      <c r="F17" s="16">
        <f>'OverAll Performance'!B17</f>
        <v>82</v>
      </c>
      <c r="G17" s="13">
        <f>Efficiency!F17</f>
        <v>0.48292274174627098</v>
      </c>
    </row>
    <row r="18" spans="1:7" x14ac:dyDescent="0.3">
      <c r="A18" t="str">
        <f>Break!A18</f>
        <v>Hyd_Ashok Kumar (1008528)</v>
      </c>
      <c r="B18" t="str">
        <f t="shared" si="0"/>
        <v>Ashok Kumar</v>
      </c>
      <c r="C18" s="12">
        <f>TIMEVALUE(Efficiency!B18)</f>
        <v>0.32848379629629632</v>
      </c>
      <c r="D18" s="12">
        <f>TIMEVALUE(Efficiency!C18)</f>
        <v>0.1973611111111111</v>
      </c>
      <c r="E18" s="12">
        <f>TIMEVALUE(Break!I18)</f>
        <v>3.9224537037037037E-2</v>
      </c>
      <c r="F18" s="16">
        <f>'OverAll Performance'!B18</f>
        <v>81</v>
      </c>
      <c r="G18" s="13">
        <f>Efficiency!F18</f>
        <v>0.57362319861879396</v>
      </c>
    </row>
    <row r="19" spans="1:7" x14ac:dyDescent="0.3">
      <c r="A19" t="str">
        <f>Break!A19</f>
        <v>Hyd_Ashok Kumar (1008529)</v>
      </c>
      <c r="B19" t="str">
        <f t="shared" si="0"/>
        <v>Ashok Kumar</v>
      </c>
      <c r="C19" s="12">
        <f>TIMEVALUE(Efficiency!B19)</f>
        <v>0.34494212962962961</v>
      </c>
      <c r="D19" s="12">
        <f>TIMEVALUE(Efficiency!C19)</f>
        <v>0.20702546296296295</v>
      </c>
      <c r="E19" s="12">
        <f>TIMEVALUE(Break!I19)</f>
        <v>4.8692129629629627E-2</v>
      </c>
      <c r="F19" s="16">
        <f>'OverAll Performance'!B19</f>
        <v>80</v>
      </c>
      <c r="G19" s="13">
        <f>Efficiency!F19</f>
        <v>0.56430560681810604</v>
      </c>
    </row>
    <row r="20" spans="1:7" x14ac:dyDescent="0.3">
      <c r="A20" t="str">
        <f>Break!A20</f>
        <v>Hyd_Ashok Kumar (1008530)</v>
      </c>
      <c r="B20" t="str">
        <f t="shared" si="0"/>
        <v>Ashok Kumar</v>
      </c>
      <c r="C20" s="12">
        <f>TIMEVALUE(Efficiency!B20)</f>
        <v>0.34810185185185183</v>
      </c>
      <c r="D20" s="12">
        <f>TIMEVALUE(Efficiency!C20)</f>
        <v>0.18267361111111111</v>
      </c>
      <c r="E20" s="12">
        <f>TIMEVALUE(Break!I20)</f>
        <v>0.11122685185185185</v>
      </c>
      <c r="F20" s="16">
        <f>'OverAll Performance'!B20</f>
        <v>79</v>
      </c>
      <c r="G20" s="13">
        <f>Efficiency!F20</f>
        <v>0.46974331693044302</v>
      </c>
    </row>
    <row r="21" spans="1:7" x14ac:dyDescent="0.3">
      <c r="A21" t="str">
        <f>Break!A21</f>
        <v>Hyd_Ashok Mahto (1008531)</v>
      </c>
      <c r="B21" t="str">
        <f t="shared" si="0"/>
        <v>Ashok Mahto</v>
      </c>
      <c r="C21" s="12">
        <f>TIMEVALUE(Efficiency!B21)</f>
        <v>0.34574074074074074</v>
      </c>
      <c r="D21" s="12">
        <f>TIMEVALUE(Efficiency!C21)</f>
        <v>0.20710648148148147</v>
      </c>
      <c r="E21" s="12">
        <f>TIMEVALUE(Break!I21)</f>
        <v>5.1736111111111108E-2</v>
      </c>
      <c r="F21" s="16">
        <f>'OverAll Performance'!B21</f>
        <v>78</v>
      </c>
      <c r="G21" s="13">
        <f>Efficiency!F21</f>
        <v>0.57495313336904097</v>
      </c>
    </row>
    <row r="22" spans="1:7" x14ac:dyDescent="0.3">
      <c r="A22" t="str">
        <f>Break!A22</f>
        <v>Hyd_Atul Kumar (1008532)</v>
      </c>
      <c r="B22" t="str">
        <f t="shared" si="0"/>
        <v>Atul Kumar</v>
      </c>
      <c r="C22" s="12">
        <f>TIMEVALUE(Efficiency!B22)</f>
        <v>0.34283564814814815</v>
      </c>
      <c r="D22" s="12">
        <f>TIMEVALUE(Efficiency!C22)</f>
        <v>0.20393518518518519</v>
      </c>
      <c r="E22" s="12">
        <f>TIMEVALUE(Break!I22)</f>
        <v>4.6516203703703705E-2</v>
      </c>
      <c r="F22" s="16">
        <f>'OverAll Performance'!B22</f>
        <v>77</v>
      </c>
      <c r="G22" s="13">
        <f>Efficiency!F22</f>
        <v>0.57945376590932096</v>
      </c>
    </row>
    <row r="23" spans="1:7" x14ac:dyDescent="0.3">
      <c r="A23" t="str">
        <f>Break!A23</f>
        <v>Hyd_Azam (1008533)</v>
      </c>
      <c r="B23" t="str">
        <f t="shared" si="0"/>
        <v>Azam</v>
      </c>
      <c r="C23" s="12">
        <f>TIMEVALUE(Efficiency!B23)</f>
        <v>0.34553240740740743</v>
      </c>
      <c r="D23" s="12">
        <f>TIMEVALUE(Efficiency!C23)</f>
        <v>0.20821759259259259</v>
      </c>
      <c r="E23" s="12">
        <f>TIMEVALUE(Break!I23)</f>
        <v>4.8460648148148149E-2</v>
      </c>
      <c r="F23" s="16">
        <f>'OverAll Performance'!B23</f>
        <v>76</v>
      </c>
      <c r="G23" s="13">
        <f>Efficiency!F23</f>
        <v>0.588296375695049</v>
      </c>
    </row>
    <row r="24" spans="1:7" x14ac:dyDescent="0.3">
      <c r="A24" t="str">
        <f>Break!A24</f>
        <v>Hyd_Bhagwat Singh (1008534)</v>
      </c>
      <c r="B24" t="str">
        <f t="shared" si="0"/>
        <v>Bhagwat Singh</v>
      </c>
      <c r="C24" s="12">
        <f>TIMEVALUE(Efficiency!B24)</f>
        <v>0.32064814814814813</v>
      </c>
      <c r="D24" s="12">
        <f>TIMEVALUE(Efficiency!C24)</f>
        <v>0.17288194444444444</v>
      </c>
      <c r="E24" s="12">
        <f>TIMEVALUE(Break!I24)</f>
        <v>9.0486111111111114E-2</v>
      </c>
      <c r="F24" s="16">
        <f>'OverAll Performance'!B24</f>
        <v>75</v>
      </c>
      <c r="G24" s="13">
        <f>Efficiency!F24</f>
        <v>0.46267686976609901</v>
      </c>
    </row>
    <row r="25" spans="1:7" x14ac:dyDescent="0.3">
      <c r="A25" t="str">
        <f>Break!A25</f>
        <v>Hyd_Bindu Nair (1008535)</v>
      </c>
      <c r="B25" t="str">
        <f t="shared" si="0"/>
        <v>Bindu Nair</v>
      </c>
      <c r="C25" s="12">
        <f>TIMEVALUE(Efficiency!B25)</f>
        <v>0.34032407407407406</v>
      </c>
      <c r="D25" s="12">
        <f>TIMEVALUE(Efficiency!C25)</f>
        <v>0.17644675925925926</v>
      </c>
      <c r="E25" s="12">
        <f>TIMEVALUE(Break!I25)</f>
        <v>9.1168981481481476E-2</v>
      </c>
      <c r="F25" s="16">
        <f>'OverAll Performance'!B25</f>
        <v>74</v>
      </c>
      <c r="G25" s="13">
        <f>Efficiency!F25</f>
        <v>0.478030199972793</v>
      </c>
    </row>
    <row r="26" spans="1:7" x14ac:dyDescent="0.3">
      <c r="A26" t="str">
        <f>Break!A26</f>
        <v>Hyd_Daleep Singh (1008536)</v>
      </c>
      <c r="B26" t="str">
        <f t="shared" si="0"/>
        <v>Daleep Singh</v>
      </c>
      <c r="C26" s="12">
        <f>TIMEVALUE(Efficiency!B26)</f>
        <v>0.34328703703703706</v>
      </c>
      <c r="D26" s="12">
        <f>TIMEVALUE(Efficiency!C26)</f>
        <v>0.22703703703703704</v>
      </c>
      <c r="E26" s="12">
        <f>TIMEVALUE(Break!I26)</f>
        <v>5.0625000000000003E-2</v>
      </c>
      <c r="F26" s="16">
        <f>'OverAll Performance'!B26</f>
        <v>73</v>
      </c>
      <c r="G26" s="13">
        <f>Efficiency!F26</f>
        <v>0.59983142279163904</v>
      </c>
    </row>
    <row r="27" spans="1:7" x14ac:dyDescent="0.3">
      <c r="A27" t="str">
        <f>Break!A27</f>
        <v>Hyd_Deepak Kumar (1008537)</v>
      </c>
      <c r="B27" t="str">
        <f t="shared" si="0"/>
        <v>Deepak Kumar</v>
      </c>
      <c r="C27" s="12">
        <f>TIMEVALUE(Efficiency!B27)</f>
        <v>0.31663194444444442</v>
      </c>
      <c r="D27" s="12">
        <f>TIMEVALUE(Efficiency!C27)</f>
        <v>0.21199074074074073</v>
      </c>
      <c r="E27" s="12">
        <f>TIMEVALUE(Break!I27)</f>
        <v>2.1180555555555557E-2</v>
      </c>
      <c r="F27" s="16">
        <f>'OverAll Performance'!B27</f>
        <v>72</v>
      </c>
      <c r="G27" s="13">
        <f>Efficiency!F27</f>
        <v>0.65029060203969702</v>
      </c>
    </row>
    <row r="28" spans="1:7" x14ac:dyDescent="0.3">
      <c r="A28" t="str">
        <f>Break!A28</f>
        <v>Hyd_Deepika Nigam (1008538)</v>
      </c>
      <c r="B28" t="str">
        <f t="shared" si="0"/>
        <v>Deepika Nigam</v>
      </c>
      <c r="C28" s="12">
        <f>TIMEVALUE(Efficiency!B28)</f>
        <v>0.34512731481481479</v>
      </c>
      <c r="D28" s="12">
        <f>TIMEVALUE(Efficiency!C28)</f>
        <v>0.20607638888888888</v>
      </c>
      <c r="E28" s="12">
        <f>TIMEVALUE(Break!I28)</f>
        <v>4.9768518518518517E-2</v>
      </c>
      <c r="F28" s="16">
        <f>'OverAll Performance'!B28</f>
        <v>71</v>
      </c>
      <c r="G28" s="13">
        <f>Efficiency!F28</f>
        <v>0.55001844461584903</v>
      </c>
    </row>
    <row r="29" spans="1:7" x14ac:dyDescent="0.3">
      <c r="A29" t="str">
        <f>Break!A29</f>
        <v>Hyd_Dinesh Kumar (1008539)</v>
      </c>
      <c r="B29" t="str">
        <f t="shared" si="0"/>
        <v>Dinesh Kumar</v>
      </c>
      <c r="C29" s="12">
        <f>TIMEVALUE(Efficiency!B29)</f>
        <v>0.34297453703703706</v>
      </c>
      <c r="D29" s="12">
        <f>TIMEVALUE(Efficiency!C29)</f>
        <v>0.21273148148148149</v>
      </c>
      <c r="E29" s="12">
        <f>TIMEVALUE(Break!I29)</f>
        <v>4.8645833333333333E-2</v>
      </c>
      <c r="F29" s="16">
        <f>'OverAll Performance'!B29</f>
        <v>70</v>
      </c>
      <c r="G29" s="13">
        <f>Efficiency!F29</f>
        <v>0.51334660682347399</v>
      </c>
    </row>
    <row r="30" spans="1:7" x14ac:dyDescent="0.3">
      <c r="A30" t="str">
        <f>Break!A30</f>
        <v>Hyd_Hari Kumar (1008540)</v>
      </c>
      <c r="B30" t="str">
        <f t="shared" si="0"/>
        <v>Hari Kumar</v>
      </c>
      <c r="C30" s="12">
        <f>TIMEVALUE(Efficiency!B30)</f>
        <v>0.34387731481481482</v>
      </c>
      <c r="D30" s="12">
        <f>TIMEVALUE(Efficiency!C30)</f>
        <v>0.17480324074074075</v>
      </c>
      <c r="E30" s="12">
        <f>TIMEVALUE(Break!I30)</f>
        <v>0.11449074074074074</v>
      </c>
      <c r="F30" s="16">
        <f>'OverAll Performance'!B30</f>
        <v>69</v>
      </c>
      <c r="G30" s="13">
        <f>Efficiency!F30</f>
        <v>0.43603379219817601</v>
      </c>
    </row>
    <row r="31" spans="1:7" x14ac:dyDescent="0.3">
      <c r="A31" t="str">
        <f>Break!A31</f>
        <v>Hyd_Heeramani Choudhary (1008541)</v>
      </c>
      <c r="B31" t="str">
        <f t="shared" si="0"/>
        <v>Heeramani Choudhary</v>
      </c>
      <c r="C31" s="12">
        <f>TIMEVALUE(Efficiency!B31)</f>
        <v>0.31069444444444444</v>
      </c>
      <c r="D31" s="12">
        <f>TIMEVALUE(Efficiency!C31)</f>
        <v>0.1912962962962963</v>
      </c>
      <c r="E31" s="12">
        <f>TIMEVALUE(Break!I31)</f>
        <v>5.5787037037037038E-2</v>
      </c>
      <c r="F31" s="16">
        <f>'OverAll Performance'!B31</f>
        <v>68</v>
      </c>
      <c r="G31" s="13">
        <f>Efficiency!F31</f>
        <v>0.52954105200417201</v>
      </c>
    </row>
    <row r="32" spans="1:7" x14ac:dyDescent="0.3">
      <c r="A32" t="str">
        <f>Break!A32</f>
        <v>Hyd_Indra Pal (1008542)</v>
      </c>
      <c r="B32" t="str">
        <f t="shared" si="0"/>
        <v>Indra Pal</v>
      </c>
      <c r="C32" s="12">
        <f>TIMEVALUE(Efficiency!B32)</f>
        <v>0.33329861111111109</v>
      </c>
      <c r="D32" s="12">
        <f>TIMEVALUE(Efficiency!C32)</f>
        <v>0.21824074074074074</v>
      </c>
      <c r="E32" s="12">
        <f>TIMEVALUE(Break!I32)</f>
        <v>4.809027777777778E-2</v>
      </c>
      <c r="F32" s="16">
        <f>'OverAll Performance'!B32</f>
        <v>67</v>
      </c>
      <c r="G32" s="13">
        <f>Efficiency!F32</f>
        <v>0.56446852102649603</v>
      </c>
    </row>
    <row r="33" spans="1:7" x14ac:dyDescent="0.3">
      <c r="A33" t="str">
        <f>Break!A33</f>
        <v>Hyd_Indra Singh (1008543)</v>
      </c>
      <c r="B33" t="str">
        <f t="shared" si="0"/>
        <v>Indra Singh</v>
      </c>
      <c r="C33" s="12">
        <f>TIMEVALUE(Efficiency!B33)</f>
        <v>0.34564814814814815</v>
      </c>
      <c r="D33" s="12">
        <f>TIMEVALUE(Efficiency!C33)</f>
        <v>0.21184027777777778</v>
      </c>
      <c r="E33" s="12">
        <f>TIMEVALUE(Break!I33)</f>
        <v>8.9745370370370364E-2</v>
      </c>
      <c r="F33" s="16">
        <f>'OverAll Performance'!B33</f>
        <v>66</v>
      </c>
      <c r="G33" s="13">
        <f>Efficiency!F33</f>
        <v>0.49789043664612898</v>
      </c>
    </row>
    <row r="34" spans="1:7" x14ac:dyDescent="0.3">
      <c r="A34" t="str">
        <f>Break!A34</f>
        <v>Hyd_Jagdish Chandra (1008544)</v>
      </c>
      <c r="B34" t="str">
        <f t="shared" si="0"/>
        <v>Jagdish Chandra</v>
      </c>
      <c r="C34" s="12">
        <f>TIMEVALUE(Efficiency!B34)</f>
        <v>0.34664351851851855</v>
      </c>
      <c r="D34" s="12">
        <f>TIMEVALUE(Efficiency!C34)</f>
        <v>0.20781250000000001</v>
      </c>
      <c r="E34" s="12">
        <f>TIMEVALUE(Break!I34)</f>
        <v>4.7951388888888891E-2</v>
      </c>
      <c r="F34" s="16">
        <f>'OverAll Performance'!B34</f>
        <v>65</v>
      </c>
      <c r="G34" s="13">
        <f>Efficiency!F34</f>
        <v>0.56270450751252099</v>
      </c>
    </row>
    <row r="35" spans="1:7" x14ac:dyDescent="0.3">
      <c r="A35" t="str">
        <f>Break!A35</f>
        <v>Hyd_Jairaj Vatham (1008545)</v>
      </c>
      <c r="B35" t="str">
        <f t="shared" si="0"/>
        <v>Jairaj Vatham</v>
      </c>
      <c r="C35" s="12">
        <f>TIMEVALUE(Efficiency!B35)</f>
        <v>0.34471064814814817</v>
      </c>
      <c r="D35" s="12">
        <f>TIMEVALUE(Efficiency!C35)</f>
        <v>0.20981481481481482</v>
      </c>
      <c r="E35" s="12">
        <f>TIMEVALUE(Break!I35)</f>
        <v>4.8564814814814818E-2</v>
      </c>
      <c r="F35" s="16">
        <f>'OverAll Performance'!B35</f>
        <v>64</v>
      </c>
      <c r="G35" s="13">
        <f>Efficiency!F35</f>
        <v>0.57680556021891705</v>
      </c>
    </row>
    <row r="36" spans="1:7" x14ac:dyDescent="0.3">
      <c r="A36" t="str">
        <f>Break!A36</f>
        <v>Hyd_Janardan Mishra (1008546)</v>
      </c>
      <c r="B36" t="str">
        <f t="shared" si="0"/>
        <v>Janardan Mishra</v>
      </c>
      <c r="C36" s="12">
        <f>TIMEVALUE(Efficiency!B36)</f>
        <v>0.31923611111111111</v>
      </c>
      <c r="D36" s="12">
        <f>TIMEVALUE(Efficiency!C36)</f>
        <v>0.18953703703703703</v>
      </c>
      <c r="E36" s="12">
        <f>TIMEVALUE(Break!I36)</f>
        <v>6.1215277777777778E-2</v>
      </c>
      <c r="F36" s="16">
        <f>'OverAll Performance'!B36</f>
        <v>63</v>
      </c>
      <c r="G36" s="13">
        <f>Efficiency!F36</f>
        <v>0.55728373576970502</v>
      </c>
    </row>
    <row r="37" spans="1:7" x14ac:dyDescent="0.3">
      <c r="A37" t="str">
        <f>Break!A37</f>
        <v>Hyd_Jitendra Kumar (1008547)</v>
      </c>
      <c r="B37" t="str">
        <f t="shared" si="0"/>
        <v>Jitendra Kumar</v>
      </c>
      <c r="C37" s="12">
        <f>TIMEVALUE(Efficiency!B37)</f>
        <v>0.34128472222222223</v>
      </c>
      <c r="D37" s="12">
        <f>TIMEVALUE(Efficiency!C37)</f>
        <v>0.17200231481481482</v>
      </c>
      <c r="E37" s="12">
        <f>TIMEVALUE(Break!I37)</f>
        <v>0.10777777777777778</v>
      </c>
      <c r="F37" s="16">
        <f>'OverAll Performance'!B37</f>
        <v>62</v>
      </c>
      <c r="G37" s="13">
        <f>Efficiency!F37</f>
        <v>0.47590463594126198</v>
      </c>
    </row>
    <row r="38" spans="1:7" x14ac:dyDescent="0.3">
      <c r="A38" t="str">
        <f>Break!A38</f>
        <v>Hyd_John D'Costa (1008548)</v>
      </c>
      <c r="B38" t="str">
        <f t="shared" si="0"/>
        <v>John D'Costa</v>
      </c>
      <c r="C38" s="12">
        <f>TIMEVALUE(Efficiency!B38)</f>
        <v>0.34012731481481484</v>
      </c>
      <c r="D38" s="12">
        <f>TIMEVALUE(Efficiency!C38)</f>
        <v>0.20243055555555556</v>
      </c>
      <c r="E38" s="12">
        <f>TIMEVALUE(Break!I38)</f>
        <v>4.8333333333333332E-2</v>
      </c>
      <c r="F38" s="16">
        <f>'OverAll Performance'!B38</f>
        <v>61</v>
      </c>
      <c r="G38" s="13">
        <f>Efficiency!F38</f>
        <v>0.55636846224520997</v>
      </c>
    </row>
    <row r="39" spans="1:7" x14ac:dyDescent="0.3">
      <c r="A39" t="str">
        <f>Break!A39</f>
        <v>Hyd_Julie S (1008549)</v>
      </c>
      <c r="B39" t="str">
        <f t="shared" si="0"/>
        <v>Julie S</v>
      </c>
      <c r="C39" s="12">
        <f>TIMEVALUE(Efficiency!B39)</f>
        <v>0.3442824074074074</v>
      </c>
      <c r="D39" s="12">
        <f>TIMEVALUE(Efficiency!C39)</f>
        <v>0.20569444444444446</v>
      </c>
      <c r="E39" s="12">
        <f>TIMEVALUE(Break!I39)</f>
        <v>4.912037037037037E-2</v>
      </c>
      <c r="F39" s="16">
        <f>'OverAll Performance'!B39</f>
        <v>60</v>
      </c>
      <c r="G39" s="13">
        <f>Efficiency!F39</f>
        <v>0.527970147246689</v>
      </c>
    </row>
    <row r="40" spans="1:7" x14ac:dyDescent="0.3">
      <c r="A40" t="str">
        <f>Break!A40</f>
        <v>Hyd_Jyoti Tulsani (1008550)</v>
      </c>
      <c r="B40" t="str">
        <f t="shared" si="0"/>
        <v>Jyoti Tulsani</v>
      </c>
      <c r="C40" s="12">
        <f>TIMEVALUE(Efficiency!B40)</f>
        <v>0.3439699074074074</v>
      </c>
      <c r="D40" s="12">
        <f>TIMEVALUE(Efficiency!C40)</f>
        <v>0.20620370370370369</v>
      </c>
      <c r="E40" s="12">
        <f>TIMEVALUE(Break!I40)</f>
        <v>4.8923611111111112E-2</v>
      </c>
      <c r="F40" s="16">
        <f>'OverAll Performance'!B40</f>
        <v>59</v>
      </c>
      <c r="G40" s="13">
        <f>Efficiency!F40</f>
        <v>0.565025741108382</v>
      </c>
    </row>
    <row r="41" spans="1:7" x14ac:dyDescent="0.3">
      <c r="A41" t="str">
        <f>Break!A41</f>
        <v>Hyd_Kahkasha Parveen (1008551)</v>
      </c>
      <c r="B41" t="str">
        <f t="shared" si="0"/>
        <v>Kahkasha Parveen</v>
      </c>
      <c r="C41" s="12">
        <f>TIMEVALUE(Efficiency!B41)</f>
        <v>0.34541666666666665</v>
      </c>
      <c r="D41" s="12">
        <f>TIMEVALUE(Efficiency!C41)</f>
        <v>0.22590277777777779</v>
      </c>
      <c r="E41" s="12">
        <f>TIMEVALUE(Break!I41)</f>
        <v>4.8750000000000002E-2</v>
      </c>
      <c r="F41" s="16">
        <f>'OverAll Performance'!B41</f>
        <v>58</v>
      </c>
      <c r="G41" s="13">
        <f>Efficiency!F41</f>
        <v>0.48579278917035301</v>
      </c>
    </row>
    <row r="42" spans="1:7" x14ac:dyDescent="0.3">
      <c r="A42" t="str">
        <f>Break!A42</f>
        <v>Hyd_Kailash Nath (1008552)</v>
      </c>
      <c r="B42" t="str">
        <f t="shared" si="0"/>
        <v>Kailash Nath</v>
      </c>
      <c r="C42" s="12">
        <f>TIMEVALUE(Efficiency!B42)</f>
        <v>0.34445601851851854</v>
      </c>
      <c r="D42" s="12">
        <f>TIMEVALUE(Efficiency!C42)</f>
        <v>0.20725694444444445</v>
      </c>
      <c r="E42" s="12">
        <f>TIMEVALUE(Break!I42)</f>
        <v>4.6990740740740743E-2</v>
      </c>
      <c r="F42" s="16">
        <f>'OverAll Performance'!B42</f>
        <v>57</v>
      </c>
      <c r="G42" s="13">
        <f>Efficiency!F42</f>
        <v>0.572258996673499</v>
      </c>
    </row>
    <row r="43" spans="1:7" x14ac:dyDescent="0.3">
      <c r="A43" t="str">
        <f>Break!A43</f>
        <v>Hyd_Kalpana Agrawal (1008553)</v>
      </c>
      <c r="B43" t="str">
        <f t="shared" si="0"/>
        <v>Kalpana Agrawal</v>
      </c>
      <c r="C43" s="12">
        <f>TIMEVALUE(Efficiency!B43)</f>
        <v>0.3334259259259259</v>
      </c>
      <c r="D43" s="12">
        <f>TIMEVALUE(Efficiency!C43)</f>
        <v>0.16271990740740741</v>
      </c>
      <c r="E43" s="12">
        <f>TIMEVALUE(Break!I43)</f>
        <v>0.10062500000000001</v>
      </c>
      <c r="F43" s="16">
        <f>'OverAll Performance'!B43</f>
        <v>56</v>
      </c>
      <c r="G43" s="13">
        <f>Efficiency!F43</f>
        <v>0.46542627048042201</v>
      </c>
    </row>
    <row r="44" spans="1:7" x14ac:dyDescent="0.3">
      <c r="A44" t="str">
        <f>Break!A44</f>
        <v>Hyd_Kamini Kumar (1008554)</v>
      </c>
      <c r="B44" t="str">
        <f t="shared" si="0"/>
        <v>Kamini Kumar</v>
      </c>
      <c r="C44" s="12">
        <f>TIMEVALUE(Efficiency!B44)</f>
        <v>0.20945601851851853</v>
      </c>
      <c r="D44" s="12">
        <f>TIMEVALUE(Efficiency!C44)</f>
        <v>0.13993055555555556</v>
      </c>
      <c r="E44" s="12">
        <f>TIMEVALUE(Break!I44)</f>
        <v>1.0416666666666666E-2</v>
      </c>
      <c r="F44" s="16">
        <f>'OverAll Performance'!B44</f>
        <v>55</v>
      </c>
      <c r="G44" s="13">
        <f>Efficiency!F44</f>
        <v>0.64380836602751801</v>
      </c>
    </row>
    <row r="45" spans="1:7" x14ac:dyDescent="0.3">
      <c r="A45" t="str">
        <f>Break!A45</f>
        <v>Hyd_Kamini Tiwari (1008555)</v>
      </c>
      <c r="B45" t="str">
        <f t="shared" si="0"/>
        <v>Kamini Tiwari</v>
      </c>
      <c r="C45" s="12">
        <f>TIMEVALUE(Efficiency!B45)</f>
        <v>0.35192129629629632</v>
      </c>
      <c r="D45" s="12">
        <f>TIMEVALUE(Efficiency!C45)</f>
        <v>0.22140046296296295</v>
      </c>
      <c r="E45" s="12">
        <f>TIMEVALUE(Break!I45)</f>
        <v>4.8437500000000001E-2</v>
      </c>
      <c r="F45" s="16">
        <f>'OverAll Performance'!B45</f>
        <v>54</v>
      </c>
      <c r="G45" s="13">
        <f>Efficiency!F45</f>
        <v>0.57347234098533195</v>
      </c>
    </row>
    <row r="46" spans="1:7" x14ac:dyDescent="0.3">
      <c r="A46" t="str">
        <f>Break!A46</f>
        <v>Hyd_Kavita Sharma (1008556)</v>
      </c>
      <c r="B46" t="str">
        <f t="shared" si="0"/>
        <v>Kavita Sharma</v>
      </c>
      <c r="C46" s="12">
        <f>TIMEVALUE(Efficiency!B46)</f>
        <v>0.32876157407407408</v>
      </c>
      <c r="D46" s="12">
        <f>TIMEVALUE(Efficiency!C46)</f>
        <v>0.22660879629629629</v>
      </c>
      <c r="E46" s="12">
        <f>TIMEVALUE(Break!I46)</f>
        <v>3.9108796296296294E-2</v>
      </c>
      <c r="F46" s="16">
        <f>'OverAll Performance'!B46</f>
        <v>53</v>
      </c>
      <c r="G46" s="13">
        <f>Efficiency!F46</f>
        <v>0.64717479317021698</v>
      </c>
    </row>
    <row r="47" spans="1:7" x14ac:dyDescent="0.3">
      <c r="A47" t="str">
        <f>Break!A47</f>
        <v>Hyd_Kiran Khubchandani (1008557)</v>
      </c>
      <c r="B47" t="str">
        <f t="shared" si="0"/>
        <v>Kiran Khubchandani</v>
      </c>
      <c r="C47" s="12">
        <f>TIMEVALUE(Efficiency!B47)</f>
        <v>0.33435185185185184</v>
      </c>
      <c r="D47" s="12">
        <f>TIMEVALUE(Efficiency!C47)</f>
        <v>0.17586805555555557</v>
      </c>
      <c r="E47" s="12">
        <f>TIMEVALUE(Break!I47)</f>
        <v>9.0555555555555556E-2</v>
      </c>
      <c r="F47" s="16">
        <f>'OverAll Performance'!B47</f>
        <v>52</v>
      </c>
      <c r="G47" s="13">
        <f>Efficiency!F47</f>
        <v>0.50443090556632497</v>
      </c>
    </row>
    <row r="48" spans="1:7" x14ac:dyDescent="0.3">
      <c r="A48" t="str">
        <f>Break!A48</f>
        <v>Hyd_Kisun Sah (1008558)</v>
      </c>
      <c r="B48" t="str">
        <f t="shared" si="0"/>
        <v>Kisun Sah</v>
      </c>
      <c r="C48" s="12">
        <f>TIMEVALUE(Efficiency!B48)</f>
        <v>0.34831018518518519</v>
      </c>
      <c r="D48" s="12">
        <f>TIMEVALUE(Efficiency!C48)</f>
        <v>0.21436342592592592</v>
      </c>
      <c r="E48" s="12">
        <f>TIMEVALUE(Break!I48)</f>
        <v>4.8240740740740744E-2</v>
      </c>
      <c r="F48" s="16">
        <f>'OverAll Performance'!B48</f>
        <v>51</v>
      </c>
      <c r="G48" s="13">
        <f>Efficiency!F48</f>
        <v>0.55280122283511701</v>
      </c>
    </row>
    <row r="49" spans="1:7" x14ac:dyDescent="0.3">
      <c r="A49" t="str">
        <f>Break!A49</f>
        <v>Hyd_Krishana Kumar (1008559)</v>
      </c>
      <c r="B49" t="str">
        <f t="shared" si="0"/>
        <v>Krishana Kumar</v>
      </c>
      <c r="C49" s="12">
        <f>TIMEVALUE(Efficiency!B49)</f>
        <v>0.34407407407407409</v>
      </c>
      <c r="D49" s="12">
        <f>TIMEVALUE(Efficiency!C49)</f>
        <v>0.19798611111111111</v>
      </c>
      <c r="E49" s="12">
        <f>TIMEVALUE(Break!I49)</f>
        <v>4.8437500000000001E-2</v>
      </c>
      <c r="F49" s="16">
        <f>'OverAll Performance'!B49</f>
        <v>50</v>
      </c>
      <c r="G49" s="13">
        <f>Efficiency!F49</f>
        <v>0.55493137782561897</v>
      </c>
    </row>
    <row r="50" spans="1:7" x14ac:dyDescent="0.3">
      <c r="A50" t="str">
        <f>Break!A50</f>
        <v>Hyd_Kunj Bihari (1008560)</v>
      </c>
      <c r="B50" t="str">
        <f t="shared" si="0"/>
        <v>Kunj Bihari</v>
      </c>
      <c r="C50" s="12">
        <f>TIMEVALUE(Efficiency!B50)</f>
        <v>0.33285879629629628</v>
      </c>
      <c r="D50" s="12">
        <f>TIMEVALUE(Efficiency!C50)</f>
        <v>0.19598379629629631</v>
      </c>
      <c r="E50" s="12">
        <f>TIMEVALUE(Break!I50)</f>
        <v>4.8738425925925928E-2</v>
      </c>
      <c r="F50" s="16">
        <f>'OverAll Performance'!B50</f>
        <v>49</v>
      </c>
      <c r="G50" s="13">
        <f>Efficiency!F50</f>
        <v>0.55217497131332804</v>
      </c>
    </row>
    <row r="51" spans="1:7" x14ac:dyDescent="0.3">
      <c r="A51" t="str">
        <f>Break!A51</f>
        <v>Hyd_Leena George (1008561)</v>
      </c>
      <c r="B51" t="str">
        <f t="shared" si="0"/>
        <v>Leena George</v>
      </c>
      <c r="C51" s="12">
        <f>TIMEVALUE(Efficiency!B51)</f>
        <v>0.20570601851851852</v>
      </c>
      <c r="D51" s="12">
        <f>TIMEVALUE(Efficiency!C51)</f>
        <v>0.13252314814814814</v>
      </c>
      <c r="E51" s="12">
        <f>TIMEVALUE(Break!I51)</f>
        <v>1.2615740740740742E-2</v>
      </c>
      <c r="F51" s="16">
        <f>'OverAll Performance'!B51</f>
        <v>48</v>
      </c>
      <c r="G51" s="13">
        <f>Efficiency!F51</f>
        <v>0.58819557756147001</v>
      </c>
    </row>
    <row r="52" spans="1:7" x14ac:dyDescent="0.3">
      <c r="A52" t="str">
        <f>Break!A52</f>
        <v>Hyd_Lilly Lucy (1008562)</v>
      </c>
      <c r="B52" t="str">
        <f t="shared" si="0"/>
        <v>Lilly Lucy</v>
      </c>
      <c r="C52" s="12">
        <f>TIMEVALUE(Efficiency!B52)</f>
        <v>0.32318287037037036</v>
      </c>
      <c r="D52" s="12">
        <f>TIMEVALUE(Efficiency!C52)</f>
        <v>0.19381944444444443</v>
      </c>
      <c r="E52" s="12">
        <f>TIMEVALUE(Break!I52)</f>
        <v>5.1898148148148152E-2</v>
      </c>
      <c r="F52" s="16">
        <f>'OverAll Performance'!B52</f>
        <v>47</v>
      </c>
      <c r="G52" s="13">
        <f>Efficiency!F52</f>
        <v>0.55534863732407003</v>
      </c>
    </row>
    <row r="53" spans="1:7" x14ac:dyDescent="0.3">
      <c r="A53" t="str">
        <f>Break!A53</f>
        <v>Hyd_Mangal Singh (1008563)</v>
      </c>
      <c r="B53" t="str">
        <f t="shared" si="0"/>
        <v>Mangal Singh</v>
      </c>
      <c r="C53" s="12">
        <f>TIMEVALUE(Efficiency!B53)</f>
        <v>0.33348379629629632</v>
      </c>
      <c r="D53" s="12">
        <f>TIMEVALUE(Efficiency!C53)</f>
        <v>0.19890046296296296</v>
      </c>
      <c r="E53" s="12">
        <f>TIMEVALUE(Break!I53)</f>
        <v>4.8657407407407406E-2</v>
      </c>
      <c r="F53" s="16">
        <f>'OverAll Performance'!B53</f>
        <v>46</v>
      </c>
      <c r="G53" s="13">
        <f>Efficiency!F53</f>
        <v>0.55815083469267301</v>
      </c>
    </row>
    <row r="54" spans="1:7" x14ac:dyDescent="0.3">
      <c r="A54" t="str">
        <f>Break!A54</f>
        <v>Hyd_Manisha Shrivastava (1008564)</v>
      </c>
      <c r="B54" t="str">
        <f t="shared" si="0"/>
        <v>Manisha Shrivastava</v>
      </c>
      <c r="C54" s="12">
        <f>TIMEVALUE(Efficiency!B54)</f>
        <v>0.34015046296296297</v>
      </c>
      <c r="D54" s="12">
        <f>TIMEVALUE(Efficiency!C54)</f>
        <v>0.20222222222222222</v>
      </c>
      <c r="E54" s="12">
        <f>TIMEVALUE(Break!I54)</f>
        <v>4.8715277777777781E-2</v>
      </c>
      <c r="F54" s="16">
        <f>'OverAll Performance'!B54</f>
        <v>45</v>
      </c>
      <c r="G54" s="13">
        <f>Efficiency!F54</f>
        <v>0.53002824185919895</v>
      </c>
    </row>
    <row r="55" spans="1:7" x14ac:dyDescent="0.3">
      <c r="A55" t="str">
        <f>Break!A55</f>
        <v>Hyd_Manjusha Sinha (1008565)</v>
      </c>
      <c r="B55" t="str">
        <f t="shared" si="0"/>
        <v>Manjusha Sinha</v>
      </c>
      <c r="C55" s="12">
        <f>TIMEVALUE(Efficiency!B55)</f>
        <v>0.34311342592592592</v>
      </c>
      <c r="D55" s="12">
        <f>TIMEVALUE(Efficiency!C55)</f>
        <v>0.21112268518518518</v>
      </c>
      <c r="E55" s="12">
        <f>TIMEVALUE(Break!I55)</f>
        <v>4.9062500000000002E-2</v>
      </c>
      <c r="F55" s="16">
        <f>'OverAll Performance'!B55</f>
        <v>44</v>
      </c>
      <c r="G55" s="13">
        <f>Efficiency!F55</f>
        <v>0.54639905548996504</v>
      </c>
    </row>
    <row r="56" spans="1:7" x14ac:dyDescent="0.3">
      <c r="A56" t="str">
        <f>Break!A56</f>
        <v>Hyd_ManjuTiwari Lab (1008566)</v>
      </c>
      <c r="B56" t="str">
        <f t="shared" si="0"/>
        <v>ManjuTiwari Lab</v>
      </c>
      <c r="C56" s="12">
        <f>TIMEVALUE(Efficiency!B56)</f>
        <v>0.32046296296296295</v>
      </c>
      <c r="D56" s="12">
        <f>TIMEVALUE(Efficiency!C56)</f>
        <v>0.18484953703703705</v>
      </c>
      <c r="E56" s="12">
        <f>TIMEVALUE(Break!I56)</f>
        <v>4.9143518518518517E-2</v>
      </c>
      <c r="F56" s="16">
        <f>'OverAll Performance'!B56</f>
        <v>43</v>
      </c>
      <c r="G56" s="13">
        <f>Efficiency!F56</f>
        <v>0.52849609939323905</v>
      </c>
    </row>
    <row r="57" spans="1:7" x14ac:dyDescent="0.3">
      <c r="A57" t="str">
        <f>Break!A57</f>
        <v>Hyd_Manoj Kumar (1008567)</v>
      </c>
      <c r="B57" t="str">
        <f t="shared" si="0"/>
        <v>Manoj Kumar</v>
      </c>
      <c r="C57" s="12">
        <f>TIMEVALUE(Efficiency!B57)</f>
        <v>0.33384259259259258</v>
      </c>
      <c r="D57" s="12">
        <f>TIMEVALUE(Efficiency!C57)</f>
        <v>0.1867824074074074</v>
      </c>
      <c r="E57" s="12">
        <f>TIMEVALUE(Break!I57)</f>
        <v>4.853009259259259E-2</v>
      </c>
      <c r="F57" s="16">
        <f>'OverAll Performance'!B57</f>
        <v>42</v>
      </c>
      <c r="G57" s="13">
        <f>Efficiency!F57</f>
        <v>0.53279711551795905</v>
      </c>
    </row>
    <row r="58" spans="1:7" x14ac:dyDescent="0.3">
      <c r="A58" t="str">
        <f>Break!A58</f>
        <v>Hyd_Manoj Kumar (1008568)</v>
      </c>
      <c r="B58" t="str">
        <f t="shared" si="0"/>
        <v>Manoj Kumar</v>
      </c>
      <c r="C58" s="12">
        <f>TIMEVALUE(Efficiency!B58)</f>
        <v>0.33012731481481483</v>
      </c>
      <c r="D58" s="12">
        <f>TIMEVALUE(Efficiency!C58)</f>
        <v>0.18739583333333334</v>
      </c>
      <c r="E58" s="12">
        <f>TIMEVALUE(Break!I58)</f>
        <v>5.2766203703703704E-2</v>
      </c>
      <c r="F58" s="16">
        <f>'OverAll Performance'!B58</f>
        <v>41</v>
      </c>
      <c r="G58" s="13">
        <f>Efficiency!F58</f>
        <v>0.53150089401535605</v>
      </c>
    </row>
    <row r="59" spans="1:7" x14ac:dyDescent="0.3">
      <c r="A59" t="str">
        <f>Break!A59</f>
        <v>Hyd_Masroor Adil (1008569)</v>
      </c>
      <c r="B59" t="str">
        <f t="shared" si="0"/>
        <v>Masroor Adil</v>
      </c>
      <c r="C59" s="12">
        <f>TIMEVALUE(Efficiency!B59)</f>
        <v>0.34032407407407406</v>
      </c>
      <c r="D59" s="12">
        <f>TIMEVALUE(Efficiency!C59)</f>
        <v>0.21151620370370369</v>
      </c>
      <c r="E59" s="12">
        <f>TIMEVALUE(Break!I59)</f>
        <v>4.9756944444444444E-2</v>
      </c>
      <c r="F59" s="16">
        <f>'OverAll Performance'!B59</f>
        <v>40</v>
      </c>
      <c r="G59" s="13">
        <f>Efficiency!F59</f>
        <v>0.58954564004897303</v>
      </c>
    </row>
    <row r="60" spans="1:7" x14ac:dyDescent="0.3">
      <c r="A60" t="str">
        <f>Break!A60</f>
        <v>Hyd_Meena Zinjare (1008570)</v>
      </c>
      <c r="B60" t="str">
        <f t="shared" si="0"/>
        <v>Meena Zinjare</v>
      </c>
      <c r="C60" s="12">
        <f>TIMEVALUE(Efficiency!B60)</f>
        <v>0.33714120370370371</v>
      </c>
      <c r="D60" s="12">
        <f>TIMEVALUE(Efficiency!C60)</f>
        <v>0.13162037037037036</v>
      </c>
      <c r="E60" s="12">
        <f>TIMEVALUE(Break!I60)</f>
        <v>0.14913194444444444</v>
      </c>
      <c r="F60" s="16">
        <f>'OverAll Performance'!B60</f>
        <v>39</v>
      </c>
      <c r="G60" s="13">
        <f>Efficiency!F60</f>
        <v>0.34903360911806097</v>
      </c>
    </row>
    <row r="61" spans="1:7" x14ac:dyDescent="0.3">
      <c r="A61" t="str">
        <f>Break!A61</f>
        <v>Hyd_Mehnaz Khan (1008571)</v>
      </c>
      <c r="B61" t="str">
        <f t="shared" si="0"/>
        <v>Mehnaz Khan</v>
      </c>
      <c r="C61" s="12">
        <f>TIMEVALUE(Efficiency!B61)</f>
        <v>0.34364583333333332</v>
      </c>
      <c r="D61" s="12">
        <f>TIMEVALUE(Efficiency!C61)</f>
        <v>0.17246527777777779</v>
      </c>
      <c r="E61" s="12">
        <f>TIMEVALUE(Break!I61)</f>
        <v>9.194444444444444E-2</v>
      </c>
      <c r="F61" s="16">
        <f>'OverAll Performance'!B61</f>
        <v>38</v>
      </c>
      <c r="G61" s="13">
        <f>Efficiency!F61</f>
        <v>0.47933717288067101</v>
      </c>
    </row>
    <row r="62" spans="1:7" x14ac:dyDescent="0.3">
      <c r="A62" t="str">
        <f>Break!A62</f>
        <v>Hyd_Mercy Thampi (1008572)</v>
      </c>
      <c r="B62" t="str">
        <f t="shared" si="0"/>
        <v>Mercy Thampi</v>
      </c>
      <c r="C62" s="12">
        <f>TIMEVALUE(Efficiency!B62)</f>
        <v>0.21915509259259258</v>
      </c>
      <c r="D62" s="12">
        <f>TIMEVALUE(Efficiency!C62)</f>
        <v>0.15189814814814814</v>
      </c>
      <c r="E62" s="12">
        <f>TIMEVALUE(Break!I62)</f>
        <v>1.0821759259259258E-2</v>
      </c>
      <c r="F62" s="16">
        <f>'OverAll Performance'!B62</f>
        <v>37</v>
      </c>
      <c r="G62" s="13">
        <f>Efficiency!F62</f>
        <v>0.62762080802746201</v>
      </c>
    </row>
    <row r="63" spans="1:7" x14ac:dyDescent="0.3">
      <c r="A63" t="str">
        <f>Break!A63</f>
        <v>Hyd_Miny Mole (1008573)</v>
      </c>
      <c r="B63" t="str">
        <f t="shared" si="0"/>
        <v>Miny Mole</v>
      </c>
      <c r="C63" s="12">
        <f>TIMEVALUE(Efficiency!B63)</f>
        <v>0.3417824074074074</v>
      </c>
      <c r="D63" s="12">
        <f>TIMEVALUE(Efficiency!C63)</f>
        <v>0.17645833333333333</v>
      </c>
      <c r="E63" s="12">
        <f>TIMEVALUE(Break!I63)</f>
        <v>9.2442129629629624E-2</v>
      </c>
      <c r="F63" s="16">
        <f>'OverAll Performance'!B63</f>
        <v>36</v>
      </c>
      <c r="G63" s="13">
        <f>Efficiency!F63</f>
        <v>0.47561801557737898</v>
      </c>
    </row>
    <row r="64" spans="1:7" x14ac:dyDescent="0.3">
      <c r="A64" t="str">
        <f>Break!A64</f>
        <v>Hyd_Mohd Rafi (1008574)</v>
      </c>
      <c r="B64" t="str">
        <f t="shared" si="0"/>
        <v>Mohd Rafi</v>
      </c>
      <c r="C64" s="12">
        <f>TIMEVALUE(Efficiency!B64)</f>
        <v>0.33370370370370372</v>
      </c>
      <c r="D64" s="12">
        <f>TIMEVALUE(Efficiency!C64)</f>
        <v>0.16336805555555556</v>
      </c>
      <c r="E64" s="12">
        <f>TIMEVALUE(Break!I64)</f>
        <v>0.11005787037037038</v>
      </c>
      <c r="F64" s="16">
        <f>'OverAll Performance'!B64</f>
        <v>35</v>
      </c>
      <c r="G64" s="13">
        <f>Efficiency!F64</f>
        <v>0.43635543840177599</v>
      </c>
    </row>
    <row r="65" spans="1:7" x14ac:dyDescent="0.3">
      <c r="A65" t="str">
        <f>Break!A65</f>
        <v>Hyd_Mubeen Khan (1008575)</v>
      </c>
      <c r="B65" t="str">
        <f t="shared" si="0"/>
        <v>Mubeen Khan</v>
      </c>
      <c r="C65" s="12">
        <f>TIMEVALUE(Efficiency!B65)</f>
        <v>0.33026620370370369</v>
      </c>
      <c r="D65" s="12">
        <f>TIMEVALUE(Efficiency!C65)</f>
        <v>0.16021990740740741</v>
      </c>
      <c r="E65" s="12">
        <f>TIMEVALUE(Break!I65)</f>
        <v>0.10043981481481482</v>
      </c>
      <c r="F65" s="16">
        <f>'OverAll Performance'!B65</f>
        <v>34</v>
      </c>
      <c r="G65" s="13">
        <f>Efficiency!F65</f>
        <v>0.451270369721395</v>
      </c>
    </row>
    <row r="66" spans="1:7" x14ac:dyDescent="0.3">
      <c r="A66" t="str">
        <f>Break!A66</f>
        <v>Hyd_Mukesh Nagar (1008576)</v>
      </c>
      <c r="B66" t="str">
        <f t="shared" si="0"/>
        <v>Mukesh Nagar</v>
      </c>
      <c r="C66" s="12">
        <f>TIMEVALUE(Efficiency!B66)</f>
        <v>0.20910879629629631</v>
      </c>
      <c r="D66" s="12">
        <f>TIMEVALUE(Efficiency!C66)</f>
        <v>0.13449074074074074</v>
      </c>
      <c r="E66" s="12">
        <f>TIMEVALUE(Break!I66)</f>
        <v>2.0532407407407409E-2</v>
      </c>
      <c r="F66" s="16">
        <f>'OverAll Performance'!B66</f>
        <v>33</v>
      </c>
      <c r="G66" s="13">
        <f>Efficiency!F66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">TRIM(MID(A67,5,FIND("(",A67)-5))</f>
        <v>Nandu Kumar</v>
      </c>
      <c r="C67" s="12">
        <f>TIMEVALUE(Efficiency!B67)</f>
        <v>0.34836805555555556</v>
      </c>
      <c r="D67" s="12">
        <f>TIMEVALUE(Efficiency!C67)</f>
        <v>0.19697916666666668</v>
      </c>
      <c r="E67" s="12">
        <f>TIMEVALUE(Break!I67)</f>
        <v>5.1423611111111114E-2</v>
      </c>
      <c r="F67" s="16">
        <f>'OverAll Performance'!B67</f>
        <v>32</v>
      </c>
      <c r="G67" s="13">
        <f>Efficiency!F67</f>
        <v>0.51755872288115901</v>
      </c>
    </row>
    <row r="68" spans="1:7" x14ac:dyDescent="0.3">
      <c r="A68" t="str">
        <f>Break!A68</f>
        <v>Hyd_Narayan Singh (1008578)</v>
      </c>
      <c r="B68" t="str">
        <f t="shared" si="1"/>
        <v>Narayan Singh</v>
      </c>
      <c r="C68" s="12">
        <f>TIMEVALUE(Efficiency!B68)</f>
        <v>0.34686342592592595</v>
      </c>
      <c r="D68" s="12">
        <f>TIMEVALUE(Efficiency!C68)</f>
        <v>0.20438657407407407</v>
      </c>
      <c r="E68" s="12">
        <f>TIMEVALUE(Break!I68)</f>
        <v>4.7534722222222221E-2</v>
      </c>
      <c r="F68" s="16">
        <f>'OverAll Performance'!B68</f>
        <v>31</v>
      </c>
      <c r="G68" s="13">
        <f>Efficiency!F68</f>
        <v>0.55550735760285597</v>
      </c>
    </row>
    <row r="69" spans="1:7" x14ac:dyDescent="0.3">
      <c r="A69" t="str">
        <f>Break!A69</f>
        <v>Hyd_Neeraj Saxena (1008579)</v>
      </c>
      <c r="B69" t="str">
        <f t="shared" si="1"/>
        <v>Neeraj Saxena</v>
      </c>
      <c r="C69" s="12">
        <f>TIMEVALUE(Efficiency!B69)</f>
        <v>0.34806712962962966</v>
      </c>
      <c r="D69" s="12">
        <f>TIMEVALUE(Efficiency!C69)</f>
        <v>0.19177083333333333</v>
      </c>
      <c r="E69" s="12">
        <f>TIMEVALUE(Break!I69)</f>
        <v>9.3958333333333338E-2</v>
      </c>
      <c r="F69" s="16">
        <f>'OverAll Performance'!B69</f>
        <v>30</v>
      </c>
      <c r="G69" s="13">
        <f>Efficiency!F69</f>
        <v>0.45535862734013899</v>
      </c>
    </row>
    <row r="70" spans="1:7" x14ac:dyDescent="0.3">
      <c r="A70" t="str">
        <f>Break!A70</f>
        <v>Hyd_Neeru Mehta (1008580)</v>
      </c>
      <c r="B70" t="str">
        <f t="shared" si="1"/>
        <v>Neeru Mehta</v>
      </c>
      <c r="C70" s="12">
        <f>TIMEVALUE(Efficiency!B70)</f>
        <v>0.3349537037037037</v>
      </c>
      <c r="D70" s="12">
        <f>TIMEVALUE(Efficiency!C70)</f>
        <v>0.19739583333333333</v>
      </c>
      <c r="E70" s="12">
        <f>TIMEVALUE(Break!I70)</f>
        <v>4.8645833333333333E-2</v>
      </c>
      <c r="F70" s="16">
        <f>'OverAll Performance'!B70</f>
        <v>29</v>
      </c>
      <c r="G70" s="13">
        <f>Efficiency!F70</f>
        <v>0.53445058742225304</v>
      </c>
    </row>
    <row r="71" spans="1:7" x14ac:dyDescent="0.3">
      <c r="A71" t="str">
        <f>Break!A71</f>
        <v>Hyd_Nikita Panwalkar (1008581)</v>
      </c>
      <c r="B71" t="str">
        <f t="shared" si="1"/>
        <v>Nikita Panwalkar</v>
      </c>
      <c r="C71" s="12">
        <f>TIMEVALUE(Efficiency!B71)</f>
        <v>0.34497685185185184</v>
      </c>
      <c r="D71" s="12">
        <f>TIMEVALUE(Efficiency!C71)</f>
        <v>0.20746527777777779</v>
      </c>
      <c r="E71" s="12">
        <f>TIMEVALUE(Break!I71)</f>
        <v>6.7650462962962968E-2</v>
      </c>
      <c r="F71" s="16">
        <f>'OverAll Performance'!B71</f>
        <v>28</v>
      </c>
      <c r="G71" s="13">
        <f>Efficiency!F71</f>
        <v>0.55914916459773201</v>
      </c>
    </row>
    <row r="72" spans="1:7" x14ac:dyDescent="0.3">
      <c r="A72" t="str">
        <f>Break!A72</f>
        <v>Hyd_Nitin Bhatia (1008582)</v>
      </c>
      <c r="B72" t="str">
        <f t="shared" si="1"/>
        <v>Nitin Bhatia</v>
      </c>
      <c r="C72" s="12">
        <f>TIMEVALUE(Efficiency!B72)</f>
        <v>0.33376157407407409</v>
      </c>
      <c r="D72" s="12">
        <f>TIMEVALUE(Efficiency!C72)</f>
        <v>0.19787037037037036</v>
      </c>
      <c r="E72" s="12">
        <f>TIMEVALUE(Break!I72)</f>
        <v>4.853009259259259E-2</v>
      </c>
      <c r="F72" s="16">
        <f>'OverAll Performance'!B72</f>
        <v>29</v>
      </c>
      <c r="G72" s="13">
        <f>Efficiency!F72</f>
        <v>0.56847106148351101</v>
      </c>
    </row>
    <row r="73" spans="1:7" x14ac:dyDescent="0.3">
      <c r="A73" t="str">
        <f>Break!A73</f>
        <v>Hyd_Om Prakash (1008583)</v>
      </c>
      <c r="B73" t="str">
        <f t="shared" si="1"/>
        <v>Om Prakash</v>
      </c>
      <c r="C73" s="12">
        <f>TIMEVALUE(Efficiency!B73)</f>
        <v>0.33037037037037037</v>
      </c>
      <c r="D73" s="12">
        <f>TIMEVALUE(Efficiency!C73)</f>
        <v>0.18496527777777777</v>
      </c>
      <c r="E73" s="12">
        <f>TIMEVALUE(Break!I73)</f>
        <v>6.6701388888888893E-2</v>
      </c>
      <c r="F73" s="16">
        <f>'OverAll Performance'!B73</f>
        <v>30</v>
      </c>
      <c r="G73" s="13">
        <f>Efficiency!F73</f>
        <v>0.47509108744394601</v>
      </c>
    </row>
    <row r="74" spans="1:7" x14ac:dyDescent="0.3">
      <c r="A74" t="str">
        <f>Break!A74</f>
        <v>Hyd_Omprakash O (1008584)</v>
      </c>
      <c r="B74" t="str">
        <f t="shared" si="1"/>
        <v>Omprakash O</v>
      </c>
      <c r="C74" s="12">
        <f>TIMEVALUE(Efficiency!B74)</f>
        <v>0.34008101851851852</v>
      </c>
      <c r="D74" s="12">
        <f>TIMEVALUE(Efficiency!C74)</f>
        <v>0.16811342592592593</v>
      </c>
      <c r="E74" s="12">
        <f>TIMEVALUE(Break!I74)</f>
        <v>9.1597222222222219E-2</v>
      </c>
      <c r="F74" s="16">
        <f>'OverAll Performance'!B74</f>
        <v>31</v>
      </c>
      <c r="G74" s="13">
        <f>Efficiency!F74</f>
        <v>0.47578531804104401</v>
      </c>
    </row>
    <row r="75" spans="1:7" x14ac:dyDescent="0.3">
      <c r="A75" t="str">
        <f>Break!A75</f>
        <v>Hyd_Owais Mohd (1008585)</v>
      </c>
      <c r="B75" t="str">
        <f t="shared" si="1"/>
        <v>Owais Mohd</v>
      </c>
      <c r="C75" s="12">
        <f>TIMEVALUE(Efficiency!B75)</f>
        <v>0.33415509259259257</v>
      </c>
      <c r="D75" s="12">
        <f>TIMEVALUE(Efficiency!C75)</f>
        <v>0.16863425925925926</v>
      </c>
      <c r="E75" s="12">
        <f>TIMEVALUE(Break!I75)</f>
        <v>0.10168981481481482</v>
      </c>
      <c r="F75" s="16">
        <f>'OverAll Performance'!B75</f>
        <v>32</v>
      </c>
      <c r="G75" s="13">
        <f>Efficiency!F75</f>
        <v>0.46898271622042897</v>
      </c>
    </row>
    <row r="76" spans="1:7" x14ac:dyDescent="0.3">
      <c r="A76" t="str">
        <f>Break!A76</f>
        <v>Hyd_Pankaj Shelkey (1008586)</v>
      </c>
      <c r="B76" t="str">
        <f t="shared" si="1"/>
        <v>Pankaj Shelkey</v>
      </c>
      <c r="C76" s="12">
        <f>TIMEVALUE(Efficiency!B76)</f>
        <v>0.34437499999999999</v>
      </c>
      <c r="D76" s="12">
        <f>TIMEVALUE(Efficiency!C76)</f>
        <v>0.18534722222222222</v>
      </c>
      <c r="E76" s="12">
        <f>TIMEVALUE(Break!I76)</f>
        <v>8.0162037037037032E-2</v>
      </c>
      <c r="F76" s="16">
        <f>'OverAll Performance'!B76</f>
        <v>33</v>
      </c>
      <c r="G76" s="13">
        <f>Efficiency!F76</f>
        <v>0.51361161524500898</v>
      </c>
    </row>
    <row r="77" spans="1:7" x14ac:dyDescent="0.3">
      <c r="A77" t="str">
        <f>Break!A77</f>
        <v>Hyd_Partha Sarathi (1008587)</v>
      </c>
      <c r="B77" t="str">
        <f t="shared" si="1"/>
        <v>Partha Sarathi</v>
      </c>
      <c r="C77" s="12">
        <f>TIMEVALUE(Efficiency!B77)</f>
        <v>0.3558101851851852</v>
      </c>
      <c r="D77" s="12">
        <f>TIMEVALUE(Efficiency!C77)</f>
        <v>0.21642361111111111</v>
      </c>
      <c r="E77" s="12">
        <f>TIMEVALUE(Break!I77)</f>
        <v>6.8541666666666667E-2</v>
      </c>
      <c r="F77" s="16">
        <f>'OverAll Performance'!B77</f>
        <v>34</v>
      </c>
      <c r="G77" s="13">
        <f>Efficiency!F77</f>
        <v>0.525112224318522</v>
      </c>
    </row>
    <row r="78" spans="1:7" x14ac:dyDescent="0.3">
      <c r="A78" t="str">
        <f>Break!A78</f>
        <v>Hyd_Prabha Desikan (1008588)</v>
      </c>
      <c r="B78" t="str">
        <f t="shared" si="1"/>
        <v>Prabha Desikan</v>
      </c>
      <c r="C78" s="12">
        <f>TIMEVALUE(Efficiency!B78)</f>
        <v>0.34848379629629628</v>
      </c>
      <c r="D78" s="12">
        <f>TIMEVALUE(Efficiency!C78)</f>
        <v>0.12767361111111111</v>
      </c>
      <c r="E78" s="12">
        <f>TIMEVALUE(Break!I78)</f>
        <v>0.17460648148148147</v>
      </c>
      <c r="F78" s="16">
        <f>'OverAll Performance'!B78</f>
        <v>35</v>
      </c>
      <c r="G78" s="13">
        <f>Efficiency!F78</f>
        <v>0.348600086352918</v>
      </c>
    </row>
    <row r="79" spans="1:7" x14ac:dyDescent="0.3">
      <c r="A79" t="str">
        <f>Break!A79</f>
        <v>Hyd_Pramod Tiwari (1008589)</v>
      </c>
      <c r="B79" t="str">
        <f t="shared" si="1"/>
        <v>Pramod Tiwari</v>
      </c>
      <c r="C79" s="12">
        <f>TIMEVALUE(Efficiency!B79)</f>
        <v>0.35092592592592592</v>
      </c>
      <c r="D79" s="12">
        <f>TIMEVALUE(Efficiency!C79)</f>
        <v>0.12086805555555556</v>
      </c>
      <c r="E79" s="12">
        <f>TIMEVALUE(Break!I79)</f>
        <v>0.18131944444444445</v>
      </c>
      <c r="F79" s="16">
        <f>'OverAll Performance'!B79</f>
        <v>36</v>
      </c>
      <c r="G79" s="13">
        <f>Efficiency!F79</f>
        <v>0.314709762532982</v>
      </c>
    </row>
    <row r="80" spans="1:7" x14ac:dyDescent="0.3">
      <c r="A80" t="str">
        <f>Break!A80</f>
        <v>Hyd_Prasannakumari S (1008590)</v>
      </c>
      <c r="B80" t="str">
        <f t="shared" si="1"/>
        <v>Prasannakumari S</v>
      </c>
      <c r="C80" s="12">
        <f>TIMEVALUE(Efficiency!B80)</f>
        <v>0.33891203703703704</v>
      </c>
      <c r="D80" s="12">
        <f>TIMEVALUE(Efficiency!C80)</f>
        <v>0.21581018518518519</v>
      </c>
      <c r="E80" s="12">
        <f>TIMEVALUE(Break!I80)</f>
        <v>4.8900462962962965E-2</v>
      </c>
      <c r="F80" s="16">
        <f>'OverAll Performance'!B80</f>
        <v>37</v>
      </c>
      <c r="G80" s="13">
        <f>Efficiency!F80</f>
        <v>0.55600710333993597</v>
      </c>
    </row>
    <row r="81" spans="1:7" x14ac:dyDescent="0.3">
      <c r="A81" t="str">
        <f>Break!A81</f>
        <v>Hyd_Praveen Kumar (1008591)</v>
      </c>
      <c r="B81" t="str">
        <f t="shared" si="1"/>
        <v>Praveen Kumar</v>
      </c>
      <c r="C81" s="12">
        <f>TIMEVALUE(Efficiency!B81)</f>
        <v>0.34675925925925927</v>
      </c>
      <c r="D81" s="12">
        <f>TIMEVALUE(Efficiency!C81)</f>
        <v>0.17275462962962962</v>
      </c>
      <c r="E81" s="12">
        <f>TIMEVALUE(Break!I81)</f>
        <v>0.10935185185185185</v>
      </c>
      <c r="F81" s="16">
        <f>'OverAll Performance'!B81</f>
        <v>38</v>
      </c>
      <c r="G81" s="13">
        <f>Efficiency!F81</f>
        <v>0.46221628838451301</v>
      </c>
    </row>
    <row r="82" spans="1:7" x14ac:dyDescent="0.3">
      <c r="A82" t="str">
        <f>Break!A82</f>
        <v>Hyd_Rachel Mathew (1008592)</v>
      </c>
      <c r="B82" t="str">
        <f t="shared" si="1"/>
        <v>Rachel Mathew</v>
      </c>
      <c r="C82" s="12">
        <f>TIMEVALUE(Efficiency!B82)</f>
        <v>0.3511111111111111</v>
      </c>
      <c r="D82" s="12">
        <f>TIMEVALUE(Efficiency!C82)</f>
        <v>0.15339120370370371</v>
      </c>
      <c r="E82" s="12">
        <f>TIMEVALUE(Break!I82)</f>
        <v>0.13890046296296296</v>
      </c>
      <c r="F82" s="16">
        <f>'OverAll Performance'!B82</f>
        <v>39</v>
      </c>
      <c r="G82" s="13">
        <f>Efficiency!F82</f>
        <v>0.39075685654008402</v>
      </c>
    </row>
    <row r="83" spans="1:7" x14ac:dyDescent="0.3">
      <c r="A83" t="str">
        <f>Break!A83</f>
        <v>Hyd_Rachita Anupam (1008593)</v>
      </c>
      <c r="B83" t="str">
        <f t="shared" si="1"/>
        <v>Rachita Anupam</v>
      </c>
      <c r="C83" s="12">
        <f>TIMEVALUE(Efficiency!B83)</f>
        <v>0.3447453703703704</v>
      </c>
      <c r="D83" s="12">
        <f>TIMEVALUE(Efficiency!C83)</f>
        <v>0.21947916666666667</v>
      </c>
      <c r="E83" s="12">
        <f>TIMEVALUE(Break!I83)</f>
        <v>4.7592592592592596E-2</v>
      </c>
      <c r="F83" s="16">
        <f>'OverAll Performance'!B83</f>
        <v>40</v>
      </c>
      <c r="G83" s="13">
        <f>Efficiency!F83</f>
        <v>0.54713623850130899</v>
      </c>
    </row>
    <row r="84" spans="1:7" x14ac:dyDescent="0.3">
      <c r="A84" t="str">
        <f>Break!A84</f>
        <v>Hyd_Rachna Chauhan (1008594)</v>
      </c>
      <c r="B84" t="str">
        <f t="shared" si="1"/>
        <v>Rachna Chauhan</v>
      </c>
      <c r="C84" s="12">
        <f>TIMEVALUE(Efficiency!B84)</f>
        <v>0.3167476851851852</v>
      </c>
      <c r="D84" s="12">
        <f>TIMEVALUE(Efficiency!C84)</f>
        <v>0.21346064814814814</v>
      </c>
      <c r="E84" s="12">
        <f>TIMEVALUE(Break!I84)</f>
        <v>2.1064814814814814E-2</v>
      </c>
      <c r="F84" s="16">
        <f>'OverAll Performance'!B84</f>
        <v>41</v>
      </c>
      <c r="G84" s="13">
        <f>Efficiency!F84</f>
        <v>0.61457229509993805</v>
      </c>
    </row>
    <row r="85" spans="1:7" x14ac:dyDescent="0.3">
      <c r="A85" t="str">
        <f>Break!A85</f>
        <v>Hyd_Raj Kumar (1008595)</v>
      </c>
      <c r="B85" t="str">
        <f t="shared" si="1"/>
        <v>Raj Kumar</v>
      </c>
      <c r="C85" s="12">
        <f>TIMEVALUE(Efficiency!B85)</f>
        <v>0.34024305555555556</v>
      </c>
      <c r="D85" s="12">
        <f>TIMEVALUE(Efficiency!C85)</f>
        <v>0.21100694444444446</v>
      </c>
      <c r="E85" s="12">
        <f>TIMEVALUE(Break!I85)</f>
        <v>4.7731481481481479E-2</v>
      </c>
      <c r="F85" s="16">
        <f>'OverAll Performance'!B85</f>
        <v>42</v>
      </c>
      <c r="G85" s="13">
        <f>Efficiency!F85</f>
        <v>0.55335578460387103</v>
      </c>
    </row>
    <row r="86" spans="1:7" x14ac:dyDescent="0.3">
      <c r="A86" t="str">
        <f>Break!A86</f>
        <v>Hyd_Rajeev Garg (1008596)</v>
      </c>
      <c r="B86" t="str">
        <f t="shared" si="1"/>
        <v>Rajeev Garg</v>
      </c>
      <c r="C86" s="12">
        <f>TIMEVALUE(Efficiency!B86)</f>
        <v>0.33611111111111114</v>
      </c>
      <c r="D86" s="12">
        <f>TIMEVALUE(Efficiency!C86)</f>
        <v>0.21214120370370371</v>
      </c>
      <c r="E86" s="12">
        <f>TIMEVALUE(Break!I86)</f>
        <v>4.7500000000000001E-2</v>
      </c>
      <c r="F86" s="16">
        <f>'OverAll Performance'!B86</f>
        <v>43</v>
      </c>
      <c r="G86" s="13">
        <f>Efficiency!F86</f>
        <v>0.611363636363636</v>
      </c>
    </row>
    <row r="87" spans="1:7" x14ac:dyDescent="0.3">
      <c r="A87" t="str">
        <f>Break!A87</f>
        <v>Hyd_Rajeev Kumar (1008597)</v>
      </c>
      <c r="B87" t="str">
        <f t="shared" si="1"/>
        <v>Rajeev Kumar</v>
      </c>
      <c r="C87" s="12">
        <f>TIMEVALUE(Efficiency!B87)</f>
        <v>0.3331365740740741</v>
      </c>
      <c r="D87" s="12">
        <f>TIMEVALUE(Efficiency!C87)</f>
        <v>0.18670138888888888</v>
      </c>
      <c r="E87" s="12">
        <f>TIMEVALUE(Break!I87)</f>
        <v>6.7430555555555549E-2</v>
      </c>
      <c r="F87" s="16">
        <f>'OverAll Performance'!B87</f>
        <v>44</v>
      </c>
      <c r="G87" s="13">
        <f>Efficiency!F87</f>
        <v>0.51217732689434703</v>
      </c>
    </row>
    <row r="88" spans="1:7" x14ac:dyDescent="0.3">
      <c r="A88" t="str">
        <f>Break!A88</f>
        <v>Hyd_Rajendra Gupta (1008598)</v>
      </c>
      <c r="B88" t="str">
        <f t="shared" si="1"/>
        <v>Rajendra Gupta</v>
      </c>
      <c r="C88" s="12">
        <f>TIMEVALUE(Efficiency!B88)</f>
        <v>0.35135416666666669</v>
      </c>
      <c r="D88" s="12">
        <f>TIMEVALUE(Efficiency!C88)</f>
        <v>0.20708333333333334</v>
      </c>
      <c r="E88" s="12">
        <f>TIMEVALUE(Break!I88)</f>
        <v>5.4953703703703706E-2</v>
      </c>
      <c r="F88" s="16">
        <f>'OverAll Performance'!B88</f>
        <v>45</v>
      </c>
      <c r="G88" s="13">
        <f>Efficiency!F88</f>
        <v>0.56029910728991705</v>
      </c>
    </row>
    <row r="89" spans="1:7" x14ac:dyDescent="0.3">
      <c r="A89" t="str">
        <f>Break!A89</f>
        <v>Hyd_Rajendra Kumar (1008599)</v>
      </c>
      <c r="B89" t="str">
        <f t="shared" si="1"/>
        <v>Rajendra Kumar</v>
      </c>
      <c r="C89" s="12">
        <f>TIMEVALUE(Efficiency!B89)</f>
        <v>0.34356481481481482</v>
      </c>
      <c r="D89" s="12">
        <f>TIMEVALUE(Efficiency!C89)</f>
        <v>0.16344907407407408</v>
      </c>
      <c r="E89" s="12">
        <f>TIMEVALUE(Break!I89)</f>
        <v>0.10712962962962963</v>
      </c>
      <c r="F89" s="16">
        <f>'OverAll Performance'!B89</f>
        <v>46</v>
      </c>
      <c r="G89" s="13">
        <f>Efficiency!F89</f>
        <v>0.42891793558819602</v>
      </c>
    </row>
    <row r="90" spans="1:7" x14ac:dyDescent="0.3">
      <c r="A90" t="str">
        <f>Break!A90</f>
        <v>Hyd_Rajendra Prasad (1008600)</v>
      </c>
      <c r="B90" t="str">
        <f t="shared" si="1"/>
        <v>Rajendra Prasad</v>
      </c>
      <c r="C90" s="12">
        <f>TIMEVALUE(Efficiency!B90)</f>
        <v>0.34900462962962964</v>
      </c>
      <c r="D90" s="12">
        <f>TIMEVALUE(Efficiency!C90)</f>
        <v>3.3715277777777775E-2</v>
      </c>
      <c r="E90" s="12">
        <f>TIMEVALUE(Break!I90)</f>
        <v>0.29744212962962963</v>
      </c>
      <c r="F90" s="16">
        <f>'OverAll Performance'!B90</f>
        <v>47</v>
      </c>
      <c r="G90" s="13">
        <f>Efficiency!F90</f>
        <v>9.4547987000066294E-2</v>
      </c>
    </row>
    <row r="91" spans="1:7" x14ac:dyDescent="0.3">
      <c r="A91" t="str">
        <f>Break!A91</f>
        <v>Hyd_Rajesh Kumar (1008601)</v>
      </c>
      <c r="B91" t="str">
        <f t="shared" si="1"/>
        <v>Rajesh Kumar</v>
      </c>
      <c r="C91" s="12">
        <f>TIMEVALUE(Efficiency!B91)</f>
        <v>0.33378472222222222</v>
      </c>
      <c r="D91" s="12">
        <f>TIMEVALUE(Efficiency!C91)</f>
        <v>0.21655092592592592</v>
      </c>
      <c r="E91" s="12">
        <f>TIMEVALUE(Break!I91)</f>
        <v>5.0046296296296297E-2</v>
      </c>
      <c r="F91" s="16">
        <f>'OverAll Performance'!B91</f>
        <v>48</v>
      </c>
      <c r="G91" s="13">
        <f>Efficiency!F91</f>
        <v>0.61021533340268397</v>
      </c>
    </row>
    <row r="92" spans="1:7" x14ac:dyDescent="0.3">
      <c r="A92" t="str">
        <f>Break!A92</f>
        <v>Hyd_Rajesh Kumar (1008602)</v>
      </c>
      <c r="B92" t="str">
        <f t="shared" si="1"/>
        <v>Rajesh Kumar</v>
      </c>
      <c r="C92" s="12">
        <f>TIMEVALUE(Efficiency!B92)</f>
        <v>0.34559027777777779</v>
      </c>
      <c r="D92" s="12">
        <f>TIMEVALUE(Efficiency!C92)</f>
        <v>0.2011574074074074</v>
      </c>
      <c r="E92" s="12">
        <f>TIMEVALUE(Break!I92)</f>
        <v>8.790509259259259E-2</v>
      </c>
      <c r="F92" s="16">
        <f>'OverAll Performance'!B92</f>
        <v>49</v>
      </c>
      <c r="G92" s="13">
        <f>Efficiency!F92</f>
        <v>0.51260926353863201</v>
      </c>
    </row>
    <row r="93" spans="1:7" x14ac:dyDescent="0.3">
      <c r="A93" t="str">
        <f>Break!A93</f>
        <v>Hyd_Rajesh Sharma (1008603)</v>
      </c>
      <c r="B93" t="str">
        <f t="shared" si="1"/>
        <v>Rajesh Sharma</v>
      </c>
      <c r="C93" s="12">
        <f>TIMEVALUE(Efficiency!B93)</f>
        <v>0.2114699074074074</v>
      </c>
      <c r="D93" s="12">
        <f>TIMEVALUE(Efficiency!C93)</f>
        <v>0.14190972222222223</v>
      </c>
      <c r="E93" s="12">
        <f>TIMEVALUE(Break!I93)</f>
        <v>1.6979166666666667E-2</v>
      </c>
      <c r="F93" s="16">
        <f>'OverAll Performance'!B93</f>
        <v>50</v>
      </c>
      <c r="G93" s="13">
        <f>Efficiency!F93</f>
        <v>0.62426796562859199</v>
      </c>
    </row>
    <row r="94" spans="1:7" x14ac:dyDescent="0.3">
      <c r="A94" t="str">
        <f>Break!A94</f>
        <v>Hyd_Raji Abraham (1008604)</v>
      </c>
      <c r="B94" t="str">
        <f t="shared" si="1"/>
        <v>Raji Abraham</v>
      </c>
      <c r="C94" s="12">
        <f>TIMEVALUE(Efficiency!B94)</f>
        <v>0.34075231481481483</v>
      </c>
      <c r="D94" s="12">
        <f>TIMEVALUE(Efficiency!C94)</f>
        <v>0.19762731481481483</v>
      </c>
      <c r="E94" s="12">
        <f>TIMEVALUE(Break!I94)</f>
        <v>4.8240740740740744E-2</v>
      </c>
      <c r="F94" s="16">
        <f>'OverAll Performance'!B94</f>
        <v>51</v>
      </c>
      <c r="G94" s="13">
        <f>Efficiency!F94</f>
        <v>0.54373153085832704</v>
      </c>
    </row>
    <row r="95" spans="1:7" x14ac:dyDescent="0.3">
      <c r="A95" t="str">
        <f>Break!A95</f>
        <v>Hyd_Rajshree Dhabekar (1008605)</v>
      </c>
      <c r="B95" t="str">
        <f t="shared" si="1"/>
        <v>Rajshree Dhabekar</v>
      </c>
      <c r="C95" s="12">
        <f>TIMEVALUE(Efficiency!B95)</f>
        <v>0.34390046296296295</v>
      </c>
      <c r="D95" s="12" t="e">
        <f>TIMEVALUE(Efficiency!C95)</f>
        <v>#VALUE!</v>
      </c>
      <c r="E95" s="12">
        <f>TIMEVALUE(Break!I95)</f>
        <v>0.34385416666666668</v>
      </c>
      <c r="F95" s="16">
        <f>'OverAll Performance'!B95</f>
        <v>52</v>
      </c>
      <c r="G95" s="13">
        <f>Efficiency!F95</f>
        <v>0</v>
      </c>
    </row>
    <row r="96" spans="1:7" x14ac:dyDescent="0.3">
      <c r="A96" t="str">
        <f>Break!A96</f>
        <v>Hyd_Rakhi Jodhani (1008606)</v>
      </c>
      <c r="B96" t="str">
        <f t="shared" si="1"/>
        <v>Rakhi Jodhani</v>
      </c>
      <c r="C96" s="12">
        <f>TIMEVALUE(Efficiency!B96)</f>
        <v>0.33532407407407405</v>
      </c>
      <c r="D96" s="12">
        <f>TIMEVALUE(Efficiency!C96)</f>
        <v>5.0763888888888886E-2</v>
      </c>
      <c r="E96" s="12">
        <f>TIMEVALUE(Break!I96)</f>
        <v>0.27759259259259261</v>
      </c>
      <c r="F96" s="16">
        <f>'OverAll Performance'!B96</f>
        <v>53</v>
      </c>
      <c r="G96" s="13">
        <f>Efficiency!F96</f>
        <v>0.14431174927516199</v>
      </c>
    </row>
    <row r="97" spans="1:7" x14ac:dyDescent="0.3">
      <c r="A97" t="str">
        <f>Break!A97</f>
        <v>Hyd_Ramji Prasad (1008607)</v>
      </c>
      <c r="B97" t="str">
        <f t="shared" si="1"/>
        <v>Ramji Prasad</v>
      </c>
      <c r="C97" s="12">
        <f>TIMEVALUE(Efficiency!B97)</f>
        <v>0.34682870370370372</v>
      </c>
      <c r="D97" s="12">
        <f>TIMEVALUE(Efficiency!C97)</f>
        <v>0.20351851851851852</v>
      </c>
      <c r="E97" s="12">
        <f>TIMEVALUE(Break!I97)</f>
        <v>5.122685185185185E-2</v>
      </c>
      <c r="F97" s="16">
        <f>'OverAll Performance'!B97</f>
        <v>54</v>
      </c>
      <c r="G97" s="13">
        <f>Efficiency!F97</f>
        <v>0.55259293866381898</v>
      </c>
    </row>
    <row r="98" spans="1:7" x14ac:dyDescent="0.3">
      <c r="A98" t="str">
        <f>Break!A98</f>
        <v>Del_Rashid (1008608)</v>
      </c>
      <c r="B98" t="str">
        <f t="shared" si="1"/>
        <v>Rashid</v>
      </c>
      <c r="C98" s="12">
        <f>TIMEVALUE(Efficiency!B98)</f>
        <v>0.33483796296296298</v>
      </c>
      <c r="D98" s="12">
        <f>TIMEVALUE(Efficiency!C98)</f>
        <v>6.6759259259259254E-2</v>
      </c>
      <c r="E98" s="12">
        <f>TIMEVALUE(Break!I98)</f>
        <v>0.23973379629629629</v>
      </c>
      <c r="F98" s="16">
        <f>'OverAll Performance'!B98</f>
        <v>55</v>
      </c>
      <c r="G98" s="13">
        <f>Efficiency!F98</f>
        <v>0.18938817836156199</v>
      </c>
    </row>
    <row r="99" spans="1:7" x14ac:dyDescent="0.3">
      <c r="A99" t="str">
        <f>Break!A99</f>
        <v>Del_Rashmi Gajbe (1008609)</v>
      </c>
      <c r="B99" t="str">
        <f t="shared" si="1"/>
        <v>Rashmi Gajbe</v>
      </c>
      <c r="C99" s="12">
        <f>TIMEVALUE(Efficiency!B99)</f>
        <v>0.34770833333333334</v>
      </c>
      <c r="D99" s="12">
        <f>TIMEVALUE(Efficiency!C99)</f>
        <v>0.1784375</v>
      </c>
      <c r="E99" s="12">
        <f>TIMEVALUE(Break!I99)</f>
        <v>8.6782407407407405E-2</v>
      </c>
      <c r="F99" s="16">
        <f>'OverAll Performance'!B99</f>
        <v>56</v>
      </c>
      <c r="G99" s="13">
        <f>Efficiency!F99</f>
        <v>0.47077424938419499</v>
      </c>
    </row>
    <row r="100" spans="1:7" x14ac:dyDescent="0.3">
      <c r="A100" t="str">
        <f>Break!A100</f>
        <v>Del_Ravi Kumar (1008610)</v>
      </c>
      <c r="B100" t="str">
        <f t="shared" si="1"/>
        <v>Ravi Kumar</v>
      </c>
      <c r="C100" s="12">
        <f>TIMEVALUE(Efficiency!B100)</f>
        <v>0.33384259259259258</v>
      </c>
      <c r="D100" s="12">
        <f>TIMEVALUE(Efficiency!C100)</f>
        <v>0.19934027777777777</v>
      </c>
      <c r="E100" s="12">
        <f>TIMEVALUE(Break!I100)</f>
        <v>4.9467592592592591E-2</v>
      </c>
      <c r="F100" s="16">
        <f>'OverAll Performance'!B100</f>
        <v>57</v>
      </c>
      <c r="G100" s="13">
        <f>Efficiency!F100</f>
        <v>0.53862155040909698</v>
      </c>
    </row>
    <row r="101" spans="1:7" x14ac:dyDescent="0.3">
      <c r="A101" t="str">
        <f>Break!A101</f>
        <v>Del_Ravinder Kaur (1008611)</v>
      </c>
      <c r="B101" t="str">
        <f t="shared" si="1"/>
        <v>Ravinder Kaur</v>
      </c>
      <c r="C101" s="12">
        <f>TIMEVALUE(Efficiency!B101)</f>
        <v>0.3346412037037037</v>
      </c>
      <c r="D101" s="12">
        <f>TIMEVALUE(Efficiency!C101)</f>
        <v>0.19371527777777778</v>
      </c>
      <c r="E101" s="12">
        <f>TIMEVALUE(Break!I101)</f>
        <v>4.8240740740740744E-2</v>
      </c>
      <c r="F101" s="16">
        <f>'OverAll Performance'!B101</f>
        <v>58</v>
      </c>
      <c r="G101" s="13">
        <f>Efficiency!F101</f>
        <v>0.53294365856189296</v>
      </c>
    </row>
    <row r="102" spans="1:7" x14ac:dyDescent="0.3">
      <c r="A102" t="str">
        <f>Break!A102</f>
        <v>Del_Rekha Agarwal (1008612)</v>
      </c>
      <c r="B102" t="str">
        <f t="shared" si="1"/>
        <v>Rekha Agarwal</v>
      </c>
      <c r="C102" s="12">
        <f>TIMEVALUE(Efficiency!B102)</f>
        <v>0.24574074074074073</v>
      </c>
      <c r="D102" s="12">
        <f>TIMEVALUE(Efficiency!C102)</f>
        <v>0.12021990740740741</v>
      </c>
      <c r="E102" s="12">
        <f>TIMEVALUE(Break!I102)</f>
        <v>0.11229166666666666</v>
      </c>
      <c r="F102" s="16">
        <f>'OverAll Performance'!B102</f>
        <v>59</v>
      </c>
      <c r="G102" s="13">
        <f>Efficiency!F102</f>
        <v>0.41310286360211002</v>
      </c>
    </row>
    <row r="103" spans="1:7" x14ac:dyDescent="0.3">
      <c r="A103" t="str">
        <f>Break!A103</f>
        <v>Del_Rekha Gupta (1008613)</v>
      </c>
      <c r="B103" t="str">
        <f t="shared" si="1"/>
        <v>Rekha Gupta</v>
      </c>
      <c r="C103" s="12">
        <f>TIMEVALUE(Efficiency!B103)</f>
        <v>0.34446759259259258</v>
      </c>
      <c r="D103" s="12">
        <f>TIMEVALUE(Efficiency!C103)</f>
        <v>0.18254629629629629</v>
      </c>
      <c r="E103" s="12">
        <f>TIMEVALUE(Break!I103)</f>
        <v>7.6817129629629624E-2</v>
      </c>
      <c r="F103" s="16">
        <f>'OverAll Performance'!B103</f>
        <v>60</v>
      </c>
      <c r="G103" s="13">
        <f>Efficiency!F103</f>
        <v>0.50483838451717</v>
      </c>
    </row>
    <row r="104" spans="1:7" x14ac:dyDescent="0.3">
      <c r="A104" t="str">
        <f>Break!A104</f>
        <v>Del_Rekha Jain  (1008614)</v>
      </c>
      <c r="B104" t="str">
        <f t="shared" si="1"/>
        <v>Rekha Jain</v>
      </c>
      <c r="C104" s="12">
        <f>TIMEVALUE(Efficiency!B104)</f>
        <v>0.34423611111111113</v>
      </c>
      <c r="D104" s="12">
        <f>TIMEVALUE(Efficiency!C104)</f>
        <v>0.18436342592592592</v>
      </c>
      <c r="E104" s="12">
        <f>TIMEVALUE(Break!I104)</f>
        <v>6.7326388888888894E-2</v>
      </c>
      <c r="F104" s="16">
        <f>'OverAll Performance'!B104</f>
        <v>61</v>
      </c>
      <c r="G104" s="13">
        <f>Efficiency!F104</f>
        <v>0.52390558805729304</v>
      </c>
    </row>
    <row r="105" spans="1:7" x14ac:dyDescent="0.3">
      <c r="A105" t="str">
        <f>Break!A105</f>
        <v>Del_Renu Pratap (1008615)</v>
      </c>
      <c r="B105" t="str">
        <f t="shared" si="1"/>
        <v>Renu Pratap</v>
      </c>
      <c r="C105" s="12">
        <f>TIMEVALUE(Efficiency!B105)</f>
        <v>0.34479166666666666</v>
      </c>
      <c r="D105" s="12">
        <f>TIMEVALUE(Efficiency!C105)</f>
        <v>0.10450231481481481</v>
      </c>
      <c r="E105" s="12">
        <f>TIMEVALUE(Break!I105)</f>
        <v>0.21383101851851852</v>
      </c>
      <c r="F105" s="16">
        <f>'OverAll Performance'!B105</f>
        <v>62</v>
      </c>
      <c r="G105" s="13">
        <f>Efficiency!F105</f>
        <v>0.25444780127559602</v>
      </c>
    </row>
    <row r="106" spans="1:7" x14ac:dyDescent="0.3">
      <c r="A106" t="str">
        <f>Break!A106</f>
        <v>Del_Ritu Bhatnagar (1008616)</v>
      </c>
      <c r="B106" t="str">
        <f t="shared" si="1"/>
        <v>Ritu Bhatnagar</v>
      </c>
      <c r="C106" s="12">
        <f>TIMEVALUE(Efficiency!B106)</f>
        <v>0.33458333333333334</v>
      </c>
      <c r="D106" s="12">
        <f>TIMEVALUE(Efficiency!C106)</f>
        <v>0.20292824074074073</v>
      </c>
      <c r="E106" s="12">
        <f>TIMEVALUE(Break!I106)</f>
        <v>5.0925925925925923E-2</v>
      </c>
      <c r="F106" s="16">
        <f>'OverAll Performance'!B106</f>
        <v>63</v>
      </c>
      <c r="G106" s="13">
        <f>Efficiency!F106</f>
        <v>0.55517503805174995</v>
      </c>
    </row>
    <row r="107" spans="1:7" x14ac:dyDescent="0.3">
      <c r="A107" t="str">
        <f>Break!A107</f>
        <v>Del_Rohit Nishchal (1008617)</v>
      </c>
      <c r="B107" t="str">
        <f t="shared" si="1"/>
        <v>Rohit Nishchal</v>
      </c>
      <c r="C107" s="12">
        <f>TIMEVALUE(Efficiency!B107)</f>
        <v>0.34524305555555557</v>
      </c>
      <c r="D107" s="12" t="e">
        <f>TIMEVALUE(Efficiency!C107)</f>
        <v>#VALUE!</v>
      </c>
      <c r="E107" s="12">
        <f>TIMEVALUE(Break!I107)</f>
        <v>0.34513888888888888</v>
      </c>
      <c r="F107" s="16">
        <f>'OverAll Performance'!B107</f>
        <v>64</v>
      </c>
      <c r="G107" s="13">
        <f>Efficiency!F107</f>
        <v>0</v>
      </c>
    </row>
    <row r="108" spans="1:7" x14ac:dyDescent="0.3">
      <c r="A108" t="str">
        <f>Break!A108</f>
        <v>Del_Roli Bhatnagar (1008618)</v>
      </c>
      <c r="B108" t="str">
        <f t="shared" si="1"/>
        <v>Roli Bhatnagar</v>
      </c>
      <c r="C108" s="12">
        <f>TIMEVALUE(Efficiency!B108)</f>
        <v>0.34424768518518517</v>
      </c>
      <c r="D108" s="12">
        <f>TIMEVALUE(Efficiency!C108)</f>
        <v>0.17256944444444444</v>
      </c>
      <c r="E108" s="12">
        <f>TIMEVALUE(Break!I108)</f>
        <v>9.0462962962962967E-2</v>
      </c>
      <c r="F108" s="16">
        <f>'OverAll Performance'!B108</f>
        <v>65</v>
      </c>
      <c r="G108" s="13">
        <f>Efficiency!F108</f>
        <v>0.477120667047709</v>
      </c>
    </row>
    <row r="109" spans="1:7" x14ac:dyDescent="0.3">
      <c r="A109" t="str">
        <f>Break!A109</f>
        <v>Del_Roma Rastogi (1008619)</v>
      </c>
      <c r="B109" t="str">
        <f t="shared" si="1"/>
        <v>Roma Rastogi</v>
      </c>
      <c r="C109" s="12">
        <f>TIMEVALUE(Efficiency!B109)</f>
        <v>0.35488425925925926</v>
      </c>
      <c r="D109" s="12">
        <f>TIMEVALUE(Efficiency!C109)</f>
        <v>0.2330787037037037</v>
      </c>
      <c r="E109" s="12">
        <f>TIMEVALUE(Break!I109)</f>
        <v>3.7349537037037035E-2</v>
      </c>
      <c r="F109" s="16">
        <f>'OverAll Performance'!B109</f>
        <v>66</v>
      </c>
      <c r="G109" s="13">
        <f>Efficiency!F109</f>
        <v>0.61917030852521004</v>
      </c>
    </row>
    <row r="110" spans="1:7" x14ac:dyDescent="0.3">
      <c r="A110" t="str">
        <f>Break!A110</f>
        <v>Del_Roohi Haider (1008620)</v>
      </c>
      <c r="B110" t="str">
        <f t="shared" si="1"/>
        <v>Roohi Haider</v>
      </c>
      <c r="C110" s="12">
        <f>TIMEVALUE(Efficiency!B110)</f>
        <v>0.33346064814814813</v>
      </c>
      <c r="D110" s="12">
        <f>TIMEVALUE(Efficiency!C110)</f>
        <v>0.2029050925925926</v>
      </c>
      <c r="E110" s="12">
        <f>TIMEVALUE(Break!I110)</f>
        <v>4.8194444444444443E-2</v>
      </c>
      <c r="F110" s="16">
        <f>'OverAll Performance'!B110</f>
        <v>67</v>
      </c>
      <c r="G110" s="13">
        <f>Efficiency!F110</f>
        <v>0.55305265350039901</v>
      </c>
    </row>
    <row r="111" spans="1:7" x14ac:dyDescent="0.3">
      <c r="A111" t="str">
        <f>Break!A111</f>
        <v>Del_Sajid Naqvi (1008621)</v>
      </c>
      <c r="B111" t="str">
        <f t="shared" si="1"/>
        <v>Sajid Naqvi</v>
      </c>
      <c r="C111" s="12">
        <f>TIMEVALUE(Efficiency!B111)</f>
        <v>0.34430555555555553</v>
      </c>
      <c r="D111" s="12">
        <f>TIMEVALUE(Efficiency!C111)</f>
        <v>0.20876157407407409</v>
      </c>
      <c r="E111" s="12">
        <f>TIMEVALUE(Break!I111)</f>
        <v>4.7685185185185185E-2</v>
      </c>
      <c r="F111" s="16">
        <f>'OverAll Performance'!B111</f>
        <v>68</v>
      </c>
      <c r="G111" s="13">
        <f>Efficiency!F111</f>
        <v>0.56195374478956595</v>
      </c>
    </row>
    <row r="112" spans="1:7" x14ac:dyDescent="0.3">
      <c r="A112" t="str">
        <f>Break!A112</f>
        <v>Del_Salim (1008622)</v>
      </c>
      <c r="B112" t="str">
        <f t="shared" si="1"/>
        <v>Salim</v>
      </c>
      <c r="C112" s="12">
        <f>TIMEVALUE(Efficiency!B112)</f>
        <v>0.34439814814814818</v>
      </c>
      <c r="D112" s="12">
        <f>TIMEVALUE(Efficiency!C112)</f>
        <v>0.19284722222222223</v>
      </c>
      <c r="E112" s="12">
        <f>TIMEVALUE(Break!I112)</f>
        <v>8.2974537037037041E-2</v>
      </c>
      <c r="F112" s="16">
        <f>'OverAll Performance'!B112</f>
        <v>69</v>
      </c>
      <c r="G112" s="13">
        <f>Efficiency!F112</f>
        <v>0.48780077967468699</v>
      </c>
    </row>
    <row r="113" spans="1:7" x14ac:dyDescent="0.3">
      <c r="A113" t="str">
        <f>Break!A113</f>
        <v>Del_Sanjay Hire (1008623)</v>
      </c>
      <c r="B113" t="str">
        <f t="shared" si="1"/>
        <v>Sanjay Hire</v>
      </c>
      <c r="C113" s="12">
        <f>TIMEVALUE(Efficiency!B113)</f>
        <v>0.34435185185185185</v>
      </c>
      <c r="D113" s="12">
        <f>TIMEVALUE(Efficiency!C113)</f>
        <v>0.20849537037037036</v>
      </c>
      <c r="E113" s="12">
        <f>TIMEVALUE(Break!I113)</f>
        <v>4.8414351851851854E-2</v>
      </c>
      <c r="F113" s="16">
        <f>'OverAll Performance'!B113</f>
        <v>70</v>
      </c>
      <c r="G113" s="13">
        <f>Efficiency!F113</f>
        <v>0.55414762032804499</v>
      </c>
    </row>
    <row r="114" spans="1:7" x14ac:dyDescent="0.3">
      <c r="A114" t="str">
        <f>Break!A114</f>
        <v>Del_Sanjiv Subherwal (1008624)</v>
      </c>
      <c r="B114" t="str">
        <f t="shared" si="1"/>
        <v>Sanjiv Subherwal</v>
      </c>
      <c r="C114" s="12">
        <f>TIMEVALUE(Efficiency!B114)</f>
        <v>0.33491898148148147</v>
      </c>
      <c r="D114" s="12">
        <f>TIMEVALUE(Efficiency!C114)</f>
        <v>0.21258101851851852</v>
      </c>
      <c r="E114" s="12">
        <f>TIMEVALUE(Break!I114)</f>
        <v>4.8784722222222222E-2</v>
      </c>
      <c r="F114" s="16">
        <f>'OverAll Performance'!B114</f>
        <v>71</v>
      </c>
      <c r="G114" s="13">
        <f>Efficiency!F114</f>
        <v>0.58651553374572396</v>
      </c>
    </row>
    <row r="115" spans="1:7" x14ac:dyDescent="0.3">
      <c r="A115" t="str">
        <f>Break!A115</f>
        <v>Del_Sanju Ramdas (1008625)</v>
      </c>
      <c r="B115" t="str">
        <f t="shared" si="1"/>
        <v>Sanju Ramdas</v>
      </c>
      <c r="C115" s="12">
        <f>TIMEVALUE(Efficiency!B115)</f>
        <v>0.34442129629629631</v>
      </c>
      <c r="D115" s="12">
        <f>TIMEVALUE(Efficiency!C115)</f>
        <v>0.22203703703703703</v>
      </c>
      <c r="E115" s="12">
        <f>TIMEVALUE(Break!I115)</f>
        <v>5.1342592592592592E-2</v>
      </c>
      <c r="F115" s="16">
        <f>'OverAll Performance'!B115</f>
        <v>72</v>
      </c>
      <c r="G115" s="13">
        <f>Efficiency!F115</f>
        <v>0.58165871362322696</v>
      </c>
    </row>
    <row r="116" spans="1:7" x14ac:dyDescent="0.3">
      <c r="A116" t="str">
        <f>Break!A116</f>
        <v>Del_Santosh Kumar (1008626)</v>
      </c>
      <c r="B116" t="str">
        <f t="shared" si="1"/>
        <v>Santosh Kumar</v>
      </c>
      <c r="C116" s="12">
        <f>TIMEVALUE(Efficiency!B116)</f>
        <v>0.33370370370370372</v>
      </c>
      <c r="D116" s="12">
        <f>TIMEVALUE(Efficiency!C116)</f>
        <v>0.21053240740740742</v>
      </c>
      <c r="E116" s="12">
        <f>TIMEVALUE(Break!I116)</f>
        <v>4.8472222222222222E-2</v>
      </c>
      <c r="F116" s="16">
        <f>'OverAll Performance'!B116</f>
        <v>73</v>
      </c>
      <c r="G116" s="13">
        <f>Efficiency!F116</f>
        <v>0.59073251942286398</v>
      </c>
    </row>
    <row r="117" spans="1:7" x14ac:dyDescent="0.3">
      <c r="A117" t="str">
        <f>Break!A117</f>
        <v>Del_Santosh Kumar (1008627)</v>
      </c>
      <c r="B117" t="str">
        <f t="shared" si="1"/>
        <v>Santosh Kumar</v>
      </c>
      <c r="C117" s="12">
        <f>TIMEVALUE(Efficiency!B117)</f>
        <v>0.34518518518518521</v>
      </c>
      <c r="D117" s="12">
        <f>TIMEVALUE(Efficiency!C117)</f>
        <v>0.21524305555555556</v>
      </c>
      <c r="E117" s="12">
        <f>TIMEVALUE(Break!I117)</f>
        <v>4.9282407407407407E-2</v>
      </c>
      <c r="F117" s="16">
        <f>'OverAll Performance'!B117</f>
        <v>74</v>
      </c>
      <c r="G117" s="13">
        <f>Efficiency!F117</f>
        <v>0.58640692060085797</v>
      </c>
    </row>
    <row r="118" spans="1:7" x14ac:dyDescent="0.3">
      <c r="A118" t="str">
        <f>Break!A118</f>
        <v>Del_Santosh Kumar (1008628)</v>
      </c>
      <c r="B118" t="str">
        <f t="shared" si="1"/>
        <v>Santosh Kumar</v>
      </c>
      <c r="C118" s="12">
        <f>TIMEVALUE(Efficiency!B118)</f>
        <v>0.3354050925925926</v>
      </c>
      <c r="D118" s="12">
        <f>TIMEVALUE(Efficiency!C118)</f>
        <v>0.19744212962962962</v>
      </c>
      <c r="E118" s="12">
        <f>TIMEVALUE(Break!I118)</f>
        <v>5.0011574074074076E-2</v>
      </c>
      <c r="F118" s="16">
        <f>'OverAll Performance'!B118</f>
        <v>75</v>
      </c>
      <c r="G118" s="13">
        <f>Efficiency!F118</f>
        <v>0.54653369681493502</v>
      </c>
    </row>
    <row r="119" spans="1:7" x14ac:dyDescent="0.3">
      <c r="A119" t="str">
        <f>Break!A119</f>
        <v>Del_Sapna Sharma (1008629)</v>
      </c>
      <c r="B119" t="str">
        <f t="shared" si="1"/>
        <v>Sapna Sharma</v>
      </c>
      <c r="C119" s="12">
        <f>TIMEVALUE(Efficiency!B119)</f>
        <v>0.33627314814814813</v>
      </c>
      <c r="D119" s="12">
        <f>TIMEVALUE(Efficiency!C119)</f>
        <v>0.18991898148148148</v>
      </c>
      <c r="E119" s="12">
        <f>TIMEVALUE(Break!I119)</f>
        <v>6.4317129629629627E-2</v>
      </c>
      <c r="F119" s="16">
        <f>'OverAll Performance'!B119</f>
        <v>76</v>
      </c>
      <c r="G119" s="13">
        <f>Efficiency!F119</f>
        <v>0.53238796723342696</v>
      </c>
    </row>
    <row r="120" spans="1:7" x14ac:dyDescent="0.3">
      <c r="A120" t="str">
        <f>Break!A120</f>
        <v>Del_Saroj Parita (1008630)</v>
      </c>
      <c r="B120" t="str">
        <f t="shared" si="1"/>
        <v>Saroj Parita</v>
      </c>
      <c r="C120" s="12">
        <f>TIMEVALUE(Efficiency!B120)</f>
        <v>0.33471064814814816</v>
      </c>
      <c r="D120" s="12">
        <f>TIMEVALUE(Efficiency!C120)</f>
        <v>0.18868055555555555</v>
      </c>
      <c r="E120" s="12">
        <f>TIMEVALUE(Break!I120)</f>
        <v>7.3344907407407414E-2</v>
      </c>
      <c r="F120" s="16">
        <f>'OverAll Performance'!B120</f>
        <v>77</v>
      </c>
      <c r="G120" s="13">
        <f>Efficiency!F120</f>
        <v>0.47020989660776702</v>
      </c>
    </row>
    <row r="121" spans="1:7" x14ac:dyDescent="0.3">
      <c r="A121" t="str">
        <f>Break!A121</f>
        <v>Del_Shailaja Kamal (1008631)</v>
      </c>
      <c r="B121" t="str">
        <f t="shared" si="1"/>
        <v>Shailaja Kamal</v>
      </c>
      <c r="C121" s="12">
        <f>TIMEVALUE(Efficiency!B121)</f>
        <v>0.33974537037037039</v>
      </c>
      <c r="D121" s="12">
        <f>TIMEVALUE(Efficiency!C121)</f>
        <v>0.20261574074074074</v>
      </c>
      <c r="E121" s="12">
        <f>TIMEVALUE(Break!I121)</f>
        <v>4.7754629629629633E-2</v>
      </c>
      <c r="F121" s="16">
        <f>'OverAll Performance'!B121</f>
        <v>78</v>
      </c>
      <c r="G121" s="13">
        <f>Efficiency!F121</f>
        <v>0.54633099407235797</v>
      </c>
    </row>
    <row r="122" spans="1:7" x14ac:dyDescent="0.3">
      <c r="A122" t="str">
        <f>Break!A122</f>
        <v>Del_Shailendra Barge (1008632)</v>
      </c>
      <c r="B122" t="str">
        <f t="shared" si="1"/>
        <v>Shailendra Barge</v>
      </c>
      <c r="C122" s="12">
        <f>TIMEVALUE(Efficiency!B122)</f>
        <v>0.34557870370370369</v>
      </c>
      <c r="D122" s="12">
        <f>TIMEVALUE(Efficiency!C122)</f>
        <v>0.14315972222222223</v>
      </c>
      <c r="E122" s="12">
        <f>TIMEVALUE(Break!I122)</f>
        <v>0.15493055555555554</v>
      </c>
      <c r="F122" s="16">
        <f>'OverAll Performance'!B122</f>
        <v>79</v>
      </c>
      <c r="G122" s="13">
        <f>Efficiency!F122</f>
        <v>0.38820416638756799</v>
      </c>
    </row>
    <row r="123" spans="1:7" x14ac:dyDescent="0.3">
      <c r="A123" t="str">
        <f>Break!A123</f>
        <v>Del_Shankar Attendant (1008633)</v>
      </c>
      <c r="B123" t="str">
        <f t="shared" si="1"/>
        <v>Shankar Attendant</v>
      </c>
      <c r="C123" s="12">
        <f>TIMEVALUE(Efficiency!B123)</f>
        <v>0.33189814814814816</v>
      </c>
      <c r="D123" s="12">
        <f>TIMEVALUE(Efficiency!C123)</f>
        <v>0.1439236111111111</v>
      </c>
      <c r="E123" s="12">
        <f>TIMEVALUE(Break!I123)</f>
        <v>0.13547453703703705</v>
      </c>
      <c r="F123" s="16">
        <f>'OverAll Performance'!B123</f>
        <v>80</v>
      </c>
      <c r="G123" s="13">
        <f>Efficiency!F123</f>
        <v>0.40277584042404802</v>
      </c>
    </row>
    <row r="124" spans="1:7" x14ac:dyDescent="0.3">
      <c r="A124" t="str">
        <f>Break!A124</f>
        <v>Del_Shashikant Tiwari (1008634)</v>
      </c>
      <c r="B124" t="str">
        <f t="shared" si="1"/>
        <v>Shashikant Tiwari</v>
      </c>
      <c r="C124" s="12">
        <f>TIMEVALUE(Efficiency!B124)</f>
        <v>0.34369212962962964</v>
      </c>
      <c r="D124" s="12">
        <f>TIMEVALUE(Efficiency!C124)</f>
        <v>0.22164351851851852</v>
      </c>
      <c r="E124" s="12">
        <f>TIMEVALUE(Break!I124)</f>
        <v>4.8599537037037038E-2</v>
      </c>
      <c r="F124" s="16">
        <f>'OverAll Performance'!B124</f>
        <v>81</v>
      </c>
      <c r="G124" s="13">
        <f>Efficiency!F124</f>
        <v>0.54352584610203702</v>
      </c>
    </row>
    <row r="125" spans="1:7" x14ac:dyDescent="0.3">
      <c r="A125" t="str">
        <f>Break!A125</f>
        <v>Del_Sheeba Joseph (1008635)</v>
      </c>
      <c r="B125" t="str">
        <f t="shared" si="1"/>
        <v>Sheeba Joseph</v>
      </c>
      <c r="C125" s="12">
        <f>TIMEVALUE(Efficiency!B125)</f>
        <v>0.3548263888888889</v>
      </c>
      <c r="D125" s="12">
        <f>TIMEVALUE(Efficiency!C125)</f>
        <v>0.15355324074074075</v>
      </c>
      <c r="E125" s="12">
        <f>TIMEVALUE(Break!I125)</f>
        <v>3.8645833333333331E-2</v>
      </c>
      <c r="F125" s="16">
        <f>'OverAll Performance'!B125</f>
        <v>82</v>
      </c>
      <c r="G125" s="13">
        <f>Efficiency!F125</f>
        <v>0.28371986821932998</v>
      </c>
    </row>
    <row r="126" spans="1:7" x14ac:dyDescent="0.3">
      <c r="A126" t="str">
        <f>Break!A126</f>
        <v>Del_Sheena Joseph (1008636)</v>
      </c>
      <c r="B126" t="str">
        <f t="shared" si="1"/>
        <v>Sheena Joseph</v>
      </c>
      <c r="C126" s="12">
        <f>TIMEVALUE(Efficiency!B126)</f>
        <v>0.36775462962962963</v>
      </c>
      <c r="D126" s="12">
        <f>TIMEVALUE(Efficiency!C126)</f>
        <v>0.21557870370370372</v>
      </c>
      <c r="E126" s="12">
        <f>TIMEVALUE(Break!I126)</f>
        <v>7.048611111111111E-2</v>
      </c>
      <c r="F126" s="16">
        <f>'OverAll Performance'!B126</f>
        <v>83</v>
      </c>
      <c r="G126" s="13">
        <f>Efficiency!F126</f>
        <v>0.56196890539434796</v>
      </c>
    </row>
    <row r="127" spans="1:7" x14ac:dyDescent="0.3">
      <c r="A127" t="str">
        <f>Break!A127</f>
        <v>Del_Shephali Jain (1008637)</v>
      </c>
      <c r="B127" t="str">
        <f t="shared" si="1"/>
        <v>Shephali Jain</v>
      </c>
      <c r="C127" s="12">
        <f>TIMEVALUE(Efficiency!B127)</f>
        <v>0.35119212962962965</v>
      </c>
      <c r="D127" s="12">
        <f>TIMEVALUE(Efficiency!C127)</f>
        <v>0.15380787037037036</v>
      </c>
      <c r="E127" s="12">
        <f>TIMEVALUE(Break!I127)</f>
        <v>0.14153935185185185</v>
      </c>
      <c r="F127" s="16">
        <f>'OverAll Performance'!B127</f>
        <v>84</v>
      </c>
      <c r="G127" s="13">
        <f>Efficiency!F127</f>
        <v>0.40332201825791802</v>
      </c>
    </row>
    <row r="128" spans="1:7" x14ac:dyDescent="0.3">
      <c r="A128" t="str">
        <f>Break!A128</f>
        <v>Del_Shivji Prasad (1008638)</v>
      </c>
      <c r="B128" t="str">
        <f t="shared" si="1"/>
        <v>Shivji Prasad</v>
      </c>
      <c r="C128" s="12">
        <f>TIMEVALUE(Efficiency!B128)</f>
        <v>0.34143518518518517</v>
      </c>
      <c r="D128" s="12">
        <f>TIMEVALUE(Efficiency!C128)</f>
        <v>0.17545138888888889</v>
      </c>
      <c r="E128" s="12">
        <f>TIMEVALUE(Break!I128)</f>
        <v>9.5694444444444443E-2</v>
      </c>
      <c r="F128" s="16">
        <f>'OverAll Performance'!B128</f>
        <v>85</v>
      </c>
      <c r="G128" s="13">
        <f>Efficiency!F128</f>
        <v>0.43796610169491501</v>
      </c>
    </row>
    <row r="129" spans="1:7" x14ac:dyDescent="0.3">
      <c r="A129" t="str">
        <f>Break!A129</f>
        <v>Del_Shubhanjali Joshi (1008639)</v>
      </c>
      <c r="B129" t="str">
        <f t="shared" si="1"/>
        <v>Shubhanjali Joshi</v>
      </c>
      <c r="C129" s="12">
        <f>TIMEVALUE(Efficiency!B129)</f>
        <v>0.34533564814814816</v>
      </c>
      <c r="D129" s="12">
        <f>TIMEVALUE(Efficiency!C129)</f>
        <v>0.20476851851851852</v>
      </c>
      <c r="E129" s="12">
        <f>TIMEVALUE(Break!I129)</f>
        <v>5.5231481481481479E-2</v>
      </c>
      <c r="F129" s="16">
        <f>'OverAll Performance'!B129</f>
        <v>86</v>
      </c>
      <c r="G129" s="13">
        <f>Efficiency!F129</f>
        <v>0.55581995508931903</v>
      </c>
    </row>
    <row r="130" spans="1:7" x14ac:dyDescent="0.3">
      <c r="A130" t="str">
        <f>Break!A130</f>
        <v>Del_Shyamal Malakar (1008640)</v>
      </c>
      <c r="B130" t="str">
        <f t="shared" si="1"/>
        <v>Shyamal Malakar</v>
      </c>
      <c r="C130" s="12">
        <f>TIMEVALUE(Efficiency!B130)</f>
        <v>0.34416666666666668</v>
      </c>
      <c r="D130" s="12">
        <f>TIMEVALUE(Efficiency!C130)</f>
        <v>0.12054398148148149</v>
      </c>
      <c r="E130" s="12">
        <f>TIMEVALUE(Break!I130)</f>
        <v>0.19140046296296295</v>
      </c>
      <c r="F130" s="16">
        <f>'OverAll Performance'!B130</f>
        <v>87</v>
      </c>
      <c r="G130" s="13">
        <f>Efficiency!F130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">TRIM(MID(A131,5,FIND("(",A131)-5))</f>
        <v>Sneh Khan</v>
      </c>
      <c r="C131" s="12">
        <f>TIMEVALUE(Efficiency!B131)</f>
        <v>0.33975694444444443</v>
      </c>
      <c r="D131" s="12">
        <f>TIMEVALUE(Efficiency!C131)</f>
        <v>0.21278935185185185</v>
      </c>
      <c r="E131" s="12">
        <f>TIMEVALUE(Break!I131)</f>
        <v>4.8506944444444443E-2</v>
      </c>
      <c r="F131" s="16">
        <f>'OverAll Performance'!B131</f>
        <v>88</v>
      </c>
      <c r="G131" s="13">
        <f>Efficiency!F131</f>
        <v>0.57404190086867701</v>
      </c>
    </row>
    <row r="132" spans="1:7" x14ac:dyDescent="0.3">
      <c r="A132" t="str">
        <f>Break!A132</f>
        <v>Del_Sonaram Munda (1008642)</v>
      </c>
      <c r="B132" t="str">
        <f t="shared" si="2"/>
        <v>Sonaram Munda</v>
      </c>
      <c r="C132" s="12">
        <f>TIMEVALUE(Efficiency!B132)</f>
        <v>0.33380787037037035</v>
      </c>
      <c r="D132" s="12">
        <f>TIMEVALUE(Efficiency!C132)</f>
        <v>0.1744212962962963</v>
      </c>
      <c r="E132" s="12">
        <f>TIMEVALUE(Break!I132)</f>
        <v>8.1423611111111113E-2</v>
      </c>
      <c r="F132" s="16">
        <f>'OverAll Performance'!B132</f>
        <v>89</v>
      </c>
      <c r="G132" s="13">
        <f>Efficiency!F132</f>
        <v>0.45359037481363301</v>
      </c>
    </row>
    <row r="133" spans="1:7" x14ac:dyDescent="0.3">
      <c r="A133" t="str">
        <f>Break!A133</f>
        <v>Del_Sudama Kumar (1008643)</v>
      </c>
      <c r="B133" t="str">
        <f t="shared" si="2"/>
        <v>Sudama Kumar</v>
      </c>
      <c r="C133" s="12">
        <f>TIMEVALUE(Efficiency!B133)</f>
        <v>0.34012731481481484</v>
      </c>
      <c r="D133" s="12">
        <f>TIMEVALUE(Efficiency!C133)</f>
        <v>0.11028935185185185</v>
      </c>
      <c r="E133" s="12">
        <f>TIMEVALUE(Break!I133)</f>
        <v>0.19189814814814815</v>
      </c>
      <c r="F133" s="16">
        <f>'OverAll Performance'!B133</f>
        <v>90</v>
      </c>
      <c r="G133" s="13">
        <f>Efficiency!F133</f>
        <v>0.29689998979140397</v>
      </c>
    </row>
    <row r="134" spans="1:7" x14ac:dyDescent="0.3">
      <c r="A134" t="str">
        <f>Break!A134</f>
        <v>Del_Sudhir Kumar (1008644)</v>
      </c>
      <c r="B134" t="str">
        <f t="shared" si="2"/>
        <v>Sudhir Kumar</v>
      </c>
      <c r="C134" s="12">
        <f>TIMEVALUE(Efficiency!B134)</f>
        <v>0.33354166666666668</v>
      </c>
      <c r="D134" s="12">
        <f>TIMEVALUE(Efficiency!C134)</f>
        <v>0.19138888888888889</v>
      </c>
      <c r="E134" s="12">
        <f>TIMEVALUE(Break!I134)</f>
        <v>5.1666666666666666E-2</v>
      </c>
      <c r="F134" s="16">
        <f>'OverAll Performance'!B134</f>
        <v>91</v>
      </c>
      <c r="G134" s="13">
        <f>Efficiency!F134</f>
        <v>0.55729058227496697</v>
      </c>
    </row>
    <row r="135" spans="1:7" x14ac:dyDescent="0.3">
      <c r="A135" t="str">
        <f>Break!A135</f>
        <v>Del_Sunil Kumar (1008645)</v>
      </c>
      <c r="B135" t="str">
        <f t="shared" si="2"/>
        <v>Sunil Kumar</v>
      </c>
      <c r="C135" s="12">
        <f>TIMEVALUE(Efficiency!B135)</f>
        <v>0.3357175925925926</v>
      </c>
      <c r="D135" s="12">
        <f>TIMEVALUE(Efficiency!C135)</f>
        <v>0.12403935185185185</v>
      </c>
      <c r="E135" s="12">
        <f>TIMEVALUE(Break!I135)</f>
        <v>0.1645486111111111</v>
      </c>
      <c r="F135" s="16">
        <f>'OverAll Performance'!B135</f>
        <v>92</v>
      </c>
      <c r="G135" s="13">
        <f>Efficiency!F135</f>
        <v>0.33279321519685601</v>
      </c>
    </row>
    <row r="136" spans="1:7" x14ac:dyDescent="0.3">
      <c r="A136" t="str">
        <f>Break!A136</f>
        <v>Del_Sunil Kumar (1008646)</v>
      </c>
      <c r="B136" t="str">
        <f t="shared" si="2"/>
        <v>Sunil Kumar</v>
      </c>
      <c r="C136" s="12">
        <f>TIMEVALUE(Efficiency!B136)</f>
        <v>0.33687499999999998</v>
      </c>
      <c r="D136" s="12">
        <f>TIMEVALUE(Efficiency!C136)</f>
        <v>0.17017361111111112</v>
      </c>
      <c r="E136" s="12">
        <f>TIMEVALUE(Break!I136)</f>
        <v>9.5034722222222229E-2</v>
      </c>
      <c r="F136" s="16">
        <f>'OverAll Performance'!B136</f>
        <v>93</v>
      </c>
      <c r="G136" s="13">
        <f>Efficiency!F136</f>
        <v>0.472308115165258</v>
      </c>
    </row>
    <row r="137" spans="1:7" x14ac:dyDescent="0.3">
      <c r="A137" t="str">
        <f>Break!A137</f>
        <v>Del_Sunita Chawla (1008647)</v>
      </c>
      <c r="B137" t="str">
        <f t="shared" si="2"/>
        <v>Sunita Chawla</v>
      </c>
      <c r="C137" s="12">
        <f>TIMEVALUE(Efficiency!B137)</f>
        <v>0.33709490740740738</v>
      </c>
      <c r="D137" s="12">
        <f>TIMEVALUE(Efficiency!C137)</f>
        <v>0.18885416666666666</v>
      </c>
      <c r="E137" s="12">
        <f>TIMEVALUE(Break!I137)</f>
        <v>8.7997685185185179E-2</v>
      </c>
      <c r="F137" s="16">
        <f>'OverAll Performance'!B137</f>
        <v>94</v>
      </c>
      <c r="G137" s="13">
        <f>Efficiency!F137</f>
        <v>0.51110729613733896</v>
      </c>
    </row>
    <row r="138" spans="1:7" x14ac:dyDescent="0.3">
      <c r="A138" t="str">
        <f>Break!A138</f>
        <v>Del_Sunita Madnani (1008648)</v>
      </c>
      <c r="B138" t="str">
        <f t="shared" si="2"/>
        <v>Sunita Madnani</v>
      </c>
      <c r="C138" s="12">
        <f>TIMEVALUE(Efficiency!B138)</f>
        <v>0.34307870370370369</v>
      </c>
      <c r="D138" s="12">
        <f>TIMEVALUE(Efficiency!C138)</f>
        <v>0.22166666666666668</v>
      </c>
      <c r="E138" s="12">
        <f>TIMEVALUE(Break!I138)</f>
        <v>4.7395833333333331E-2</v>
      </c>
      <c r="F138" s="16">
        <f>'OverAll Performance'!B138</f>
        <v>95</v>
      </c>
      <c r="G138" s="13">
        <f>Efficiency!F138</f>
        <v>0.58886040078267299</v>
      </c>
    </row>
    <row r="139" spans="1:7" x14ac:dyDescent="0.3">
      <c r="A139" t="str">
        <f>Break!A139</f>
        <v>Del_Surendra Kumar (1008649)</v>
      </c>
      <c r="B139" t="str">
        <f t="shared" si="2"/>
        <v>Surendra Kumar</v>
      </c>
      <c r="C139" s="12">
        <f>TIMEVALUE(Efficiency!B139)</f>
        <v>0.31192129629629628</v>
      </c>
      <c r="D139" s="12">
        <f>TIMEVALUE(Efficiency!C139)</f>
        <v>0.12112268518518518</v>
      </c>
      <c r="E139" s="12">
        <f>TIMEVALUE(Break!I139)</f>
        <v>0.1575462962962963</v>
      </c>
      <c r="F139" s="16">
        <f>'OverAll Performance'!B139</f>
        <v>96</v>
      </c>
      <c r="G139" s="13">
        <f>Efficiency!F139</f>
        <v>0.34289424860853401</v>
      </c>
    </row>
    <row r="140" spans="1:7" x14ac:dyDescent="0.3">
      <c r="A140" t="str">
        <f>Break!A140</f>
        <v>Del_Surendranath Thakur (1008650)</v>
      </c>
      <c r="B140" t="str">
        <f t="shared" si="2"/>
        <v>Surendranath Thakur</v>
      </c>
      <c r="C140" s="12">
        <f>TIMEVALUE(Efficiency!B140)</f>
        <v>0.3568634259259259</v>
      </c>
      <c r="D140" s="12">
        <f>TIMEVALUE(Efficiency!C140)</f>
        <v>0.19224537037037037</v>
      </c>
      <c r="E140" s="12">
        <f>TIMEVALUE(Break!I140)</f>
        <v>9.5196759259259259E-2</v>
      </c>
      <c r="F140" s="16">
        <f>'OverAll Performance'!B140</f>
        <v>97</v>
      </c>
      <c r="G140" s="13">
        <f>Efficiency!F140</f>
        <v>0.497486459313074</v>
      </c>
    </row>
    <row r="141" spans="1:7" x14ac:dyDescent="0.3">
      <c r="A141" t="str">
        <f>Break!A141</f>
        <v>Del_Sushma Khandelwal (1008651)</v>
      </c>
      <c r="B141" t="str">
        <f t="shared" si="2"/>
        <v>Sushma Khandelwal</v>
      </c>
      <c r="C141" s="12">
        <f>TIMEVALUE(Efficiency!B141)</f>
        <v>0.34392361111111114</v>
      </c>
      <c r="D141" s="12">
        <f>TIMEVALUE(Efficiency!C141)</f>
        <v>0.20146990740740742</v>
      </c>
      <c r="E141" s="12">
        <f>TIMEVALUE(Break!I141)</f>
        <v>4.8854166666666664E-2</v>
      </c>
      <c r="F141" s="16">
        <f>'OverAll Performance'!B141</f>
        <v>98</v>
      </c>
      <c r="G141" s="13">
        <f>Efficiency!F141</f>
        <v>0.52431431936732298</v>
      </c>
    </row>
    <row r="142" spans="1:7" x14ac:dyDescent="0.3">
      <c r="A142" t="str">
        <f>Break!A142</f>
        <v>Del_Swarnlata Borse (1008652)</v>
      </c>
      <c r="B142" t="str">
        <f t="shared" si="2"/>
        <v>Swarnlata Borse</v>
      </c>
      <c r="C142" s="12">
        <f>TIMEVALUE(Efficiency!B142)</f>
        <v>0.34658564814814813</v>
      </c>
      <c r="D142" s="12">
        <f>TIMEVALUE(Efficiency!C142)</f>
        <v>0.12475694444444445</v>
      </c>
      <c r="E142" s="12">
        <f>TIMEVALUE(Break!I142)</f>
        <v>0.18931712962962963</v>
      </c>
      <c r="F142" s="16">
        <f>'OverAll Performance'!B142</f>
        <v>99</v>
      </c>
      <c r="G142" s="13">
        <f>Efficiency!F142</f>
        <v>0.31066956086157999</v>
      </c>
    </row>
    <row r="143" spans="1:7" x14ac:dyDescent="0.3">
      <c r="A143" t="str">
        <f>Break!A143</f>
        <v>Del_Syed Naved (1008653)</v>
      </c>
      <c r="B143" t="str">
        <f t="shared" si="2"/>
        <v>Syed Naved</v>
      </c>
      <c r="C143" s="12">
        <f>TIMEVALUE(Efficiency!B143)</f>
        <v>0.34281250000000002</v>
      </c>
      <c r="D143" s="12">
        <f>TIMEVALUE(Efficiency!C143)</f>
        <v>0.22505787037037037</v>
      </c>
      <c r="E143" s="12">
        <f>TIMEVALUE(Break!I143)</f>
        <v>5.1898148148148152E-2</v>
      </c>
      <c r="F143" s="16">
        <f>'OverAll Performance'!B143</f>
        <v>100</v>
      </c>
      <c r="G143" s="13">
        <f>Efficiency!F143</f>
        <v>0.58462473412336702</v>
      </c>
    </row>
    <row r="144" spans="1:7" x14ac:dyDescent="0.3">
      <c r="A144" t="str">
        <f>Break!A144</f>
        <v>Del_Syed Saqib (1008654)</v>
      </c>
      <c r="B144" t="str">
        <f t="shared" si="2"/>
        <v>Syed Saqib</v>
      </c>
      <c r="C144" s="12">
        <f>TIMEVALUE(Efficiency!B144)</f>
        <v>0.35055555555555556</v>
      </c>
      <c r="D144" s="12">
        <f>TIMEVALUE(Efficiency!C144)</f>
        <v>0.11953703703703704</v>
      </c>
      <c r="E144" s="12">
        <f>TIMEVALUE(Break!I144)</f>
        <v>0.21081018518518518</v>
      </c>
      <c r="F144" s="16">
        <f>'OverAll Performance'!B144</f>
        <v>101</v>
      </c>
      <c r="G144" s="13">
        <f>Efficiency!F144</f>
        <v>0.31685816164817698</v>
      </c>
    </row>
    <row r="145" spans="1:7" x14ac:dyDescent="0.3">
      <c r="A145" t="str">
        <f>Break!A145</f>
        <v>Del_Syed Sohail (1008655)</v>
      </c>
      <c r="B145" t="str">
        <f t="shared" si="2"/>
        <v>Syed Sohail</v>
      </c>
      <c r="C145" s="12">
        <f>TIMEVALUE(Efficiency!B145)</f>
        <v>0.34575231481481483</v>
      </c>
      <c r="D145" s="12">
        <f>TIMEVALUE(Efficiency!C145)</f>
        <v>0.20268518518518519</v>
      </c>
      <c r="E145" s="12">
        <f>TIMEVALUE(Break!I145)</f>
        <v>5.0046296296296297E-2</v>
      </c>
      <c r="F145" s="16">
        <f>'OverAll Performance'!B145</f>
        <v>102</v>
      </c>
      <c r="G145" s="13">
        <f>Efficiency!F145</f>
        <v>0.56375322197301903</v>
      </c>
    </row>
    <row r="146" spans="1:7" x14ac:dyDescent="0.3">
      <c r="A146" t="str">
        <f>Break!A146</f>
        <v>Del_System Operator (1008656)</v>
      </c>
      <c r="B146" t="str">
        <f t="shared" si="2"/>
        <v>System Operator</v>
      </c>
      <c r="C146" s="12">
        <f>TIMEVALUE(Efficiency!B146)</f>
        <v>0.35479166666666667</v>
      </c>
      <c r="D146" s="12">
        <f>TIMEVALUE(Efficiency!C146)</f>
        <v>0.21916666666666668</v>
      </c>
      <c r="E146" s="12">
        <f>TIMEVALUE(Break!I146)</f>
        <v>3.8946759259259257E-2</v>
      </c>
      <c r="F146" s="16">
        <f>'OverAll Performance'!B146</f>
        <v>103</v>
      </c>
      <c r="G146" s="13">
        <f>Efficiency!F146</f>
        <v>0.54779147908918902</v>
      </c>
    </row>
    <row r="147" spans="1:7" x14ac:dyDescent="0.3">
      <c r="A147" t="str">
        <f>Break!A147</f>
        <v>Del_Tahira Qureshi (1008657)</v>
      </c>
      <c r="B147" t="str">
        <f t="shared" si="2"/>
        <v>Tahira Qureshi</v>
      </c>
      <c r="C147" s="12">
        <f>TIMEVALUE(Efficiency!B147)</f>
        <v>0.36542824074074076</v>
      </c>
      <c r="D147" s="12">
        <f>TIMEVALUE(Efficiency!C147)</f>
        <v>0.15059027777777778</v>
      </c>
      <c r="E147" s="12">
        <f>TIMEVALUE(Break!I147)</f>
        <v>0.16840277777777779</v>
      </c>
      <c r="F147" s="16">
        <f>'OverAll Performance'!B147</f>
        <v>104</v>
      </c>
      <c r="G147" s="13">
        <f>Efficiency!F147</f>
        <v>0.37965983593576802</v>
      </c>
    </row>
    <row r="148" spans="1:7" x14ac:dyDescent="0.3">
      <c r="A148" t="str">
        <f>Break!A148</f>
        <v>Del_Tapas Chakraborty (1008658)</v>
      </c>
      <c r="B148" t="str">
        <f t="shared" si="2"/>
        <v>Tapas Chakraborty</v>
      </c>
      <c r="C148" s="12">
        <f>TIMEVALUE(Efficiency!B148)</f>
        <v>0.34370370370370368</v>
      </c>
      <c r="D148" s="12">
        <f>TIMEVALUE(Efficiency!C148)</f>
        <v>0.21891203703703704</v>
      </c>
      <c r="E148" s="12">
        <f>TIMEVALUE(Break!I148)</f>
        <v>5.0127314814814812E-2</v>
      </c>
      <c r="F148" s="16">
        <f>'OverAll Performance'!B148</f>
        <v>105</v>
      </c>
      <c r="G148" s="13">
        <f>Efficiency!F148</f>
        <v>0.56529498922413801</v>
      </c>
    </row>
    <row r="149" spans="1:7" x14ac:dyDescent="0.3">
      <c r="A149" t="str">
        <f>Break!A149</f>
        <v>Del_Tariq Akhlaq (1008659)</v>
      </c>
      <c r="B149" t="str">
        <f t="shared" si="2"/>
        <v>Tariq Akhlaq</v>
      </c>
      <c r="C149" s="12">
        <f>TIMEVALUE(Efficiency!B149)</f>
        <v>0.20827546296296295</v>
      </c>
      <c r="D149" s="12">
        <f>TIMEVALUE(Efficiency!C149)</f>
        <v>0.1310300925925926</v>
      </c>
      <c r="E149" s="12">
        <f>TIMEVALUE(Break!I149)</f>
        <v>1.0451388888888889E-2</v>
      </c>
      <c r="F149" s="16">
        <f>'OverAll Performance'!B149</f>
        <v>106</v>
      </c>
      <c r="G149" s="13">
        <f>Efficiency!F149</f>
        <v>0.60261183662128404</v>
      </c>
    </row>
    <row r="150" spans="1:7" x14ac:dyDescent="0.3">
      <c r="A150" t="str">
        <f>Break!A150</f>
        <v>Del_Tasneem Khan (1008660)</v>
      </c>
      <c r="B150" t="str">
        <f t="shared" si="2"/>
        <v>Tasneem Khan</v>
      </c>
      <c r="C150" s="12">
        <f>TIMEVALUE(Efficiency!B150)</f>
        <v>0.35688657407407409</v>
      </c>
      <c r="D150" s="12">
        <f>TIMEVALUE(Efficiency!C150)</f>
        <v>0.19362268518518519</v>
      </c>
      <c r="E150" s="12">
        <f>TIMEVALUE(Break!I150)</f>
        <v>9.5034722222222229E-2</v>
      </c>
      <c r="F150" s="16">
        <f>'OverAll Performance'!B150</f>
        <v>107</v>
      </c>
      <c r="G150" s="13">
        <f>Efficiency!F150</f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C0E5-5133-4CE8-9883-CE48DA03ECB7}">
  <sheetPr codeName="Sheet5"/>
  <dimension ref="A1:H11"/>
  <sheetViews>
    <sheetView tabSelected="1" zoomScale="110" zoomScaleNormal="110" workbookViewId="0">
      <selection activeCell="J5" sqref="J5"/>
    </sheetView>
  </sheetViews>
  <sheetFormatPr defaultRowHeight="14.4" x14ac:dyDescent="0.3"/>
  <cols>
    <col min="1" max="1" width="13.77734375" bestFit="1" customWidth="1"/>
    <col min="2" max="2" width="39.21875" customWidth="1"/>
    <col min="4" max="4" width="17.21875" customWidth="1"/>
    <col min="5" max="5" width="39.5546875" customWidth="1"/>
  </cols>
  <sheetData>
    <row r="1" spans="1:8" x14ac:dyDescent="0.3">
      <c r="A1" s="19"/>
      <c r="B1" s="19"/>
      <c r="C1" s="17">
        <v>5</v>
      </c>
      <c r="D1" s="19"/>
      <c r="E1" s="19"/>
      <c r="F1" s="17">
        <v>5</v>
      </c>
    </row>
    <row r="2" spans="1:8" x14ac:dyDescent="0.3">
      <c r="A2" s="19"/>
      <c r="B2" s="19"/>
      <c r="C2" s="17">
        <v>7</v>
      </c>
      <c r="D2" s="19"/>
      <c r="E2" s="19"/>
    </row>
    <row r="3" spans="1:8" ht="23.4" customHeight="1" x14ac:dyDescent="0.3">
      <c r="A3" s="18" t="s">
        <v>1010</v>
      </c>
      <c r="B3" s="18"/>
      <c r="D3" s="18" t="s">
        <v>1015</v>
      </c>
      <c r="E3" s="18"/>
    </row>
    <row r="4" spans="1:8" x14ac:dyDescent="0.3">
      <c r="A4" s="14" t="s">
        <v>1003</v>
      </c>
      <c r="B4" t="s">
        <v>1009</v>
      </c>
      <c r="D4" s="14" t="s">
        <v>1003</v>
      </c>
      <c r="E4" t="s">
        <v>1014</v>
      </c>
    </row>
    <row r="5" spans="1:8" x14ac:dyDescent="0.3">
      <c r="A5" s="15" t="s">
        <v>1004</v>
      </c>
      <c r="B5" s="12">
        <v>1.3668402777777779</v>
      </c>
      <c r="D5" s="15" t="s">
        <v>1012</v>
      </c>
      <c r="E5" s="20">
        <v>0.65495030262646503</v>
      </c>
    </row>
    <row r="6" spans="1:8" x14ac:dyDescent="0.3">
      <c r="A6" s="15" t="s">
        <v>1005</v>
      </c>
      <c r="B6" s="12">
        <v>0.66396990740740747</v>
      </c>
      <c r="D6" s="15" t="s">
        <v>1004</v>
      </c>
      <c r="E6" s="20">
        <v>2.0905948641136138</v>
      </c>
    </row>
    <row r="7" spans="1:8" x14ac:dyDescent="0.3">
      <c r="A7" s="15" t="s">
        <v>1006</v>
      </c>
      <c r="B7" s="12">
        <v>0.67937500000000006</v>
      </c>
      <c r="D7" s="15" t="s">
        <v>1013</v>
      </c>
      <c r="E7" s="20">
        <v>0.65029060203969702</v>
      </c>
      <c r="H7" t="s">
        <v>1011</v>
      </c>
    </row>
    <row r="8" spans="1:8" x14ac:dyDescent="0.3">
      <c r="A8" s="15" t="s">
        <v>1007</v>
      </c>
      <c r="B8" s="12">
        <v>1.0142939814814815</v>
      </c>
      <c r="D8" s="15" t="s">
        <v>1005</v>
      </c>
      <c r="E8" s="20">
        <v>1.064298009533315</v>
      </c>
    </row>
    <row r="9" spans="1:8" x14ac:dyDescent="0.3">
      <c r="A9" s="15" t="s">
        <v>1008</v>
      </c>
      <c r="B9" s="12">
        <v>0.67259259259259263</v>
      </c>
      <c r="D9" s="15" t="s">
        <v>1006</v>
      </c>
      <c r="E9" s="20">
        <v>1.122824596941316</v>
      </c>
    </row>
    <row r="10" spans="1:8" x14ac:dyDescent="0.3">
      <c r="D10" s="15" t="s">
        <v>1007</v>
      </c>
      <c r="E10" s="20">
        <v>1.7236731368386569</v>
      </c>
    </row>
    <row r="11" spans="1:8" x14ac:dyDescent="0.3">
      <c r="D11" s="15" t="s">
        <v>1008</v>
      </c>
      <c r="E11" s="20">
        <v>0.80510133036211395</v>
      </c>
    </row>
  </sheetData>
  <mergeCells count="4">
    <mergeCell ref="A3:B3"/>
    <mergeCell ref="A1:B2"/>
    <mergeCell ref="D1:E2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Spinner 1">
              <controlPr defaultSize="0" autoPict="0" macro="[0]!Spinner1_Code">
                <anchor moveWithCells="1" sizeWithCells="1">
                  <from>
                    <xdr:col>1</xdr:col>
                    <xdr:colOff>1424940</xdr:colOff>
                    <xdr:row>0</xdr:row>
                    <xdr:rowOff>60960</xdr:rowOff>
                  </from>
                  <to>
                    <xdr:col>1</xdr:col>
                    <xdr:colOff>1577340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Spinner 3">
              <controlPr defaultSize="0" autoPict="0" macro="[0]!Spinner2_Code">
                <anchor moveWithCells="1" sizeWithCells="1">
                  <from>
                    <xdr:col>4</xdr:col>
                    <xdr:colOff>1424940</xdr:colOff>
                    <xdr:row>0</xdr:row>
                    <xdr:rowOff>60960</xdr:rowOff>
                  </from>
                  <to>
                    <xdr:col>4</xdr:col>
                    <xdr:colOff>1577340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gaurav rajput</cp:lastModifiedBy>
  <dcterms:created xsi:type="dcterms:W3CDTF">2022-05-04T01:32:35Z</dcterms:created>
  <dcterms:modified xsi:type="dcterms:W3CDTF">2026-04-25T16:55:50Z</dcterms:modified>
</cp:coreProperties>
</file>